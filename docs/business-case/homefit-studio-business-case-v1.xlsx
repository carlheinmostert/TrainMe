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5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Assumptions" sheetId="2" state="visible" r:id="rId4"/>
    <sheet name="Growth" sheetId="3" state="visible" r:id="rId5"/>
    <sheet name="Revenue" sheetId="4" state="visible" r:id="rId6"/>
    <sheet name="Costs" sheetId="5" state="visible" r:id="rId7"/>
    <sheet name="P&amp;L" sheetId="6" state="visible" r:id="rId8"/>
    <sheet name="CashFlow" sheetId="7" state="visible" r:id="rId9"/>
    <sheet name="Scenarios" sheetId="8" state="visible" r:id="rId10"/>
    <sheet name="Sensitivity" sheetId="9" state="visible" r:id="rId11"/>
  </sheets>
  <definedNames>
    <definedName function="false" hidden="false" name="activation" vbProcedure="false">Assumptions!$G$26</definedName>
    <definedName function="false" hidden="false" name="apple_dev_yr" vbProcedure="false">Assumptions!$G$49</definedName>
    <definedName function="false" hidden="false" name="avg_txn" vbProcedure="false">Assumptions!$G$55</definedName>
    <definedName function="false" hidden="false" name="churn" vbProcedure="false">Assumptions!$G$31</definedName>
    <definedName function="false" hidden="false" name="credits_per_plan" vbProcedure="false">Assumptions!$G$22</definedName>
    <definedName function="false" hidden="false" name="credit_consume" vbProcedure="false">Assumptions!$G$23</definedName>
    <definedName function="false" hidden="false" name="domain_yr" vbProcedure="false">Assumptions!$G$48</definedName>
    <definedName function="false" hidden="false" name="early_churn" vbProcedure="false">Assumptions!$G$32</definedName>
    <definedName function="false" hidden="false" name="egress_mb" vbProcedure="false">Assumptions!$G$50</definedName>
    <definedName function="false" hidden="false" name="founder_salary" vbProcedure="false">Assumptions!$G$59</definedName>
    <definedName function="false" hidden="false" name="fx" vbProcedure="false">Assumptions!$G$47</definedName>
    <definedName function="false" hidden="false" name="hire1_sal" vbProcedure="false">Assumptions!$G$65</definedName>
    <definedName function="false" hidden="false" name="hire1_yr" vbProcedure="false">Assumptions!$G$64</definedName>
    <definedName function="false" hidden="false" name="hire2_sal" vbProcedure="false">Assumptions!$G$67</definedName>
    <definedName function="false" hidden="false" name="hire2_yr" vbProcedure="false">Assumptions!$G$66</definedName>
    <definedName function="false" hidden="false" name="intl_start_year" vbProcedure="false">Assumptions!$G$18</definedName>
    <definedName function="false" hidden="false" name="legal" vbProcedure="false">Assumptions!$G$63</definedName>
    <definedName function="false" hidden="false" name="mix_paid" vbProcedure="false">Assumptions!$G$40</definedName>
    <definedName function="false" hidden="false" name="mix_ref" vbProcedure="false">Assumptions!$G$41</definedName>
    <definedName function="false" hidden="false" name="mix_warm" vbProcedure="false">Assumptions!$G$39</definedName>
    <definedName function="false" hidden="false" name="mkt_floor" vbProcedure="false">Assumptions!$G$61</definedName>
    <definedName function="false" hidden="false" name="mkt_growth" vbProcedure="false">Assumptions!$G$62</definedName>
    <definedName function="false" hidden="false" name="paid_cac_intl" vbProcedure="false">Assumptions!$G$37</definedName>
    <definedName function="false" hidden="false" name="paid_cac_sa" vbProcedure="false">Assumptions!$G$36</definedName>
    <definedName function="false" hidden="false" name="paid_conv" vbProcedure="false">Assumptions!$G$27</definedName>
    <definedName function="false" hidden="false" name="pf_fixed" vbProcedure="false">Assumptions!$G$54</definedName>
    <definedName function="false" hidden="false" name="pf_pct_early" vbProcedure="false">Assumptions!$G$52</definedName>
    <definedName function="false" hidden="false" name="pf_pct_late" vbProcedure="false">Assumptions!$G$53</definedName>
    <definedName function="false" hidden="false" name="plans_per_prac" vbProcedure="false">Assumptions!$G$21</definedName>
    <definedName function="false" hidden="false" name="reach_intl" vbProcedure="false">Assumptions!$G$17</definedName>
    <definedName function="false" hidden="false" name="reach_sa" vbProcedure="false">Assumptions!$G$11</definedName>
    <definedName function="false" hidden="false" name="ref_conv" vbProcedure="false">Assumptions!$G$29</definedName>
    <definedName function="false" hidden="false" name="ref_cost" vbProcedure="false">Assumptions!$G$38</definedName>
    <definedName function="false" hidden="false" name="ref_invites" vbProcedure="false">Assumptions!$G$28</definedName>
    <definedName function="false" hidden="false" name="rev_per_credit" vbProcedure="false">Assumptions!$G$20</definedName>
    <definedName function="false" hidden="false" name="salary_growth" vbProcedure="false">Assumptions!$G$60</definedName>
    <definedName function="false" hidden="false" name="scn" vbProcedure="false">Assumptions!$C$6</definedName>
    <definedName function="false" hidden="false" name="signup_rate" vbProcedure="false">Assumptions!$G$25</definedName>
    <definedName function="false" hidden="false" name="supabase_base" vbProcedure="false">Assumptions!$G$43</definedName>
    <definedName function="false" hidden="false" name="supabase_bw" vbProcedure="false">Assumptions!$G$44</definedName>
    <definedName function="false" hidden="false" name="tam_au_physio" vbProcedure="false">Assumptions!$G$13</definedName>
    <definedName function="false" hidden="false" name="tam_au_pt" vbProcedure="false">Assumptions!$G$14</definedName>
    <definedName function="false" hidden="false" name="tam_bio" vbProcedure="false">Assumptions!$G$8</definedName>
    <definedName function="false" hidden="false" name="tam_nordics" vbProcedure="false">Assumptions!$G$16</definedName>
    <definedName function="false" hidden="false" name="tam_physio" vbProcedure="false">Assumptions!$G$9</definedName>
    <definedName function="false" hidden="false" name="tam_pt" vbProcedure="false">Assumptions!$G$10</definedName>
    <definedName function="false" hidden="false" name="tam_uk" vbProcedure="false">Assumptions!$G$15</definedName>
    <definedName function="false" hidden="false" name="vat" vbProcedure="false">Assumptions!$G$56</definedName>
    <definedName function="false" hidden="false" name="vat_yr" vbProcedure="false">Assumptions!$G$57</definedName>
    <definedName function="false" hidden="false" name="vercel_base" vbProcedure="false">Assumptions!$G$45</definedName>
    <definedName function="false" hidden="false" name="vercel_bw" vbProcedure="false">Assumptions!$G$46</definedName>
    <definedName function="false" hidden="false" name="warm_y1" vbProcedure="false">Assumptions!$G$34</definedName>
    <definedName function="false" hidden="false" name="warm_yr" vbProcedure="false">Assumptions!$G$35</definedName>
    <definedName function="false" hidden="false" name="y5_sa_target" vbProcedure="false">Assumptions!$G$69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<sst xmlns="http://schemas.openxmlformats.org/spreadsheetml/2006/main" count="470" uniqueCount="324">
  <si>
    <t xml:space="preserve">homefit.studio — 5-year business case model</t>
  </si>
  <si>
    <t xml:space="preserve">Sheet map</t>
  </si>
  <si>
    <t xml:space="preserve">Assumptions</t>
  </si>
  <si>
    <t xml:space="preserve">Every driver. Pale-coral cells are editable. Toggle scenario at C5 (1/2/3).</t>
  </si>
  <si>
    <t xml:space="preserve">Growth</t>
  </si>
  <si>
    <t xml:space="preserve">Practitioner funnel — Y1 monthly, Y2–Y5 quarterly.</t>
  </si>
  <si>
    <t xml:space="preserve">Revenue</t>
  </si>
  <si>
    <t xml:space="preserve">Credit economics → gross / VAT / net / USD.</t>
  </si>
  <si>
    <t xml:space="preserve">Costs</t>
  </si>
  <si>
    <t xml:space="preserve">Infra + OpEx + COGS.</t>
  </si>
  <si>
    <t xml:space="preserve">P&amp;L</t>
  </si>
  <si>
    <t xml:space="preserve">Annual rollup. EBITDA per year + 5-yr cumulative.</t>
  </si>
  <si>
    <t xml:space="preserve">CashFlow</t>
  </si>
  <si>
    <t xml:space="preserve">Period cash flow + running balance (R0 starting).</t>
  </si>
  <si>
    <t xml:space="preserve">Scenarios</t>
  </si>
  <si>
    <t xml:space="preserve">Unit economics (LTV, CAC, payback). Y5 snapshot of active scenario.</t>
  </si>
  <si>
    <t xml:space="preserve">Sensitivity</t>
  </si>
  <si>
    <t xml:space="preserve">Tornado scaffold — flex one driver at a time.</t>
  </si>
  <si>
    <t xml:space="preserve">Primary sources: see docs/business-case/assumptions-cited.md</t>
  </si>
  <si>
    <t xml:space="preserve">Currency: ZAR primary. USD info lines use fx = Assumptions!fx (default R19/USD).</t>
  </si>
  <si>
    <t xml:space="preserve">Access date: 2026-04-20</t>
  </si>
  <si>
    <t xml:space="preserve">homefit.studio — 5-Year Business Case</t>
  </si>
  <si>
    <t xml:space="preserve">All inputs below are user-editable (pale coral). Everything else is a formula.</t>
  </si>
  <si>
    <t xml:space="preserve">Version: v1 · Base date: 2026-04-20 · Horizon: Y1 monthly, Y2–Y5 quarterly</t>
  </si>
  <si>
    <t xml:space="preserve">Assumption</t>
  </si>
  <si>
    <t xml:space="preserve">Conservative</t>
  </si>
  <si>
    <t xml:space="preserve">Base</t>
  </si>
  <si>
    <t xml:space="preserve">Optimistic</t>
  </si>
  <si>
    <t xml:space="preserve">Unit</t>
  </si>
  <si>
    <t xml:space="preserve">Source / note</t>
  </si>
  <si>
    <t xml:space="preserve">Active</t>
  </si>
  <si>
    <t xml:space="preserve">Scenario selector</t>
  </si>
  <si>
    <t xml:space="preserve">Active scenario (1=Conservative, 2=Base, 3=Optimistic)</t>
  </si>
  <si>
    <t xml:space="preserve">int</t>
  </si>
  <si>
    <t xml:space="preserve">Driven through the whole model via CHOOSE().</t>
  </si>
  <si>
    <t xml:space="preserve">Market sizing — South Africa</t>
  </si>
  <si>
    <t xml:space="preserve">SA registered biokineticists</t>
  </si>
  <si>
    <t xml:space="preserve">practitioners</t>
  </si>
  <si>
    <t xml:space="preserve">HPCSA+BASA. 2020=1,831 → extrapolated.</t>
  </si>
  <si>
    <t xml:space="preserve">SA registered physiotherapists</t>
  </si>
  <si>
    <t xml:space="preserve">HPCSA Mar-2025 = 9,235.</t>
  </si>
  <si>
    <t xml:space="preserve">SA registered exercise pros (REPSSA+)</t>
  </si>
  <si>
    <t xml:space="preserve">REPSSA unpublished; derived via SA fitness facility census.</t>
  </si>
  <si>
    <t xml:space="preserve">Reachable fraction of SA TAM (digital, solo-SMB)</t>
  </si>
  <si>
    <t xml:space="preserve">%</t>
  </si>
  <si>
    <t xml:space="preserve">Strip public sector / big-chain-locked.</t>
  </si>
  <si>
    <t xml:space="preserve">Market sizing — International (expansion)</t>
  </si>
  <si>
    <t xml:space="preserve">AU physiotherapists</t>
  </si>
  <si>
    <t xml:space="preserve">Physiotherapy Board of Australia 2024.</t>
  </si>
  <si>
    <t xml:space="preserve">AUSactive registered exercise pros</t>
  </si>
  <si>
    <t xml:space="preserve">AUSactive Accreditation page.</t>
  </si>
  <si>
    <t xml:space="preserve">UK HCPC physiotherapists</t>
  </si>
  <si>
    <t xml:space="preserve">HCPC Register Summary 2024.</t>
  </si>
  <si>
    <t xml:space="preserve">Nordics physiotherapists (DK+SE+NO+FI)</t>
  </si>
  <si>
    <t xml:space="preserve">World Physiotherapy + Statista.</t>
  </si>
  <si>
    <t xml:space="preserve">Reachable fraction of intl TAM</t>
  </si>
  <si>
    <t xml:space="preserve">Lower than SA — weaker brand &amp; comp is stronger.</t>
  </si>
  <si>
    <t xml:space="preserve">International expansion starts in year</t>
  </si>
  <si>
    <t xml:space="preserve">year</t>
  </si>
  <si>
    <t xml:space="preserve">Y3 base; Y4 conservative; Y2 optimistic.</t>
  </si>
  <si>
    <t xml:space="preserve">Pricing / revenue</t>
  </si>
  <si>
    <t xml:space="preserve">Blended revenue per credit (ZAR, after bundle mix)</t>
  </si>
  <si>
    <t xml:space="preserve">R/credit</t>
  </si>
  <si>
    <t xml:space="preserve">Weighted avg: 10/R250=R25, 50/R1125=R22.50, 200/R4000=R20.</t>
  </si>
  <si>
    <t xml:space="preserve">Plans published per active practitioner per month</t>
  </si>
  <si>
    <t xml:space="preserve">plans/mo</t>
  </si>
  <si>
    <t xml:space="preserve">Active = has published ≥1 plan in the month.</t>
  </si>
  <si>
    <t xml:space="preserve">Avg credits per plan (non-rest count ceil/8, clamped 1-3)</t>
  </si>
  <si>
    <t xml:space="preserve">credits</t>
  </si>
  <si>
    <t xml:space="preserve">Most plans 1–8 exercises = 1 credit.</t>
  </si>
  <si>
    <t xml:space="preserve">Credits consumed vs purchased (decay)</t>
  </si>
  <si>
    <t xml:space="preserve">Some credits sit on account — POPIA retention ceiling.</t>
  </si>
  <si>
    <t xml:space="preserve">Funnel</t>
  </si>
  <si>
    <t xml:space="preserve">Annual signup rate (reachable → signup)</t>
  </si>
  <si>
    <t xml:space="preserve">%/yr</t>
  </si>
  <si>
    <t xml:space="preserve">Blended across paid+warm+referral.</t>
  </si>
  <si>
    <t xml:space="preserve">Signup → activation (first published plan)</t>
  </si>
  <si>
    <t xml:space="preserve">Agile Growth Labs 2025 median 37.5%.</t>
  </si>
  <si>
    <t xml:space="preserve">Activation → paid (buys 1st bundle)</t>
  </si>
  <si>
    <t xml:space="preserve">1Capture Healthcare/MedTech = 21.5%.</t>
  </si>
  <si>
    <t xml:space="preserve">Referral invites per active per year</t>
  </si>
  <si>
    <t xml:space="preserve">inv/yr</t>
  </si>
  <si>
    <t xml:space="preserve">Non-cash incentive SaaS.</t>
  </si>
  <si>
    <t xml:space="preserve">Referee → signup conversion</t>
  </si>
  <si>
    <t xml:space="preserve">WallStreet Prep viral 15–25% B2B.</t>
  </si>
  <si>
    <t xml:space="preserve">Churn</t>
  </si>
  <si>
    <t xml:space="preserve">Monthly logo churn (steady state)</t>
  </si>
  <si>
    <t xml:space="preserve">%/mo</t>
  </si>
  <si>
    <t xml:space="preserve">SMB SaaS 3–5%; ours is single-user no-EHR-lock.</t>
  </si>
  <si>
    <t xml:space="preserve">First-90-day churn uplift (pp)</t>
  </si>
  <si>
    <t xml:space="preserve">pp</t>
  </si>
  <si>
    <t xml:space="preserve">SMB 90-day concentration.</t>
  </si>
  <si>
    <t xml:space="preserve">Customer acquisition cost</t>
  </si>
  <si>
    <t xml:space="preserve">Warm / organic signups — Y1 total</t>
  </si>
  <si>
    <t xml:space="preserve">signups</t>
  </si>
  <si>
    <t xml:space="preserve">Melissa's network + BASA talks + early PR.</t>
  </si>
  <si>
    <t xml:space="preserve">Warm / organic signups — Y2+ per year</t>
  </si>
  <si>
    <t xml:space="preserve">CPD talks, conferences, content.</t>
  </si>
  <si>
    <t xml:space="preserve">Paid CAC — SA</t>
  </si>
  <si>
    <t xml:space="preserve">R/signup</t>
  </si>
  <si>
    <t xml:space="preserve">LinkedIn+Google mix; CPC R25–45 × CVR 6–8%.</t>
  </si>
  <si>
    <t xml:space="preserve">Paid CAC — International</t>
  </si>
  <si>
    <t xml:space="preserve">Est. 3x SA (LinkedIn UK/AU CPCs higher).</t>
  </si>
  <si>
    <t xml:space="preserve">Referral variable cost (free-credit value)</t>
  </si>
  <si>
    <t xml:space="preserve">8 free credits × R20/credit cost basis × goodwill haircut.</t>
  </si>
  <si>
    <t xml:space="preserve">Mix: warm share</t>
  </si>
  <si>
    <t xml:space="preserve">Falls over time — base case decays 5pp/yr.</t>
  </si>
  <si>
    <t xml:space="preserve">Mix: paid share</t>
  </si>
  <si>
    <t xml:space="preserve">Rises when warm runs out.</t>
  </si>
  <si>
    <t xml:space="preserve">Mix: referral share</t>
  </si>
  <si>
    <t xml:space="preserve">Stable — product-loop driven.</t>
  </si>
  <si>
    <t xml:space="preserve">Infrastructure cost</t>
  </si>
  <si>
    <t xml:space="preserve">Supabase Pro (USD/mo)</t>
  </si>
  <si>
    <t xml:space="preserve">$/mo</t>
  </si>
  <si>
    <t xml:space="preserve">supabase.com/pricing — $25 base.</t>
  </si>
  <si>
    <t xml:space="preserve">Supabase bandwidth overage ($/GB)</t>
  </si>
  <si>
    <t xml:space="preserve">$/GB</t>
  </si>
  <si>
    <t xml:space="preserve">supabase.com/pricing.</t>
  </si>
  <si>
    <t xml:space="preserve">Vercel Pro (USD/seat/mo)</t>
  </si>
  <si>
    <t xml:space="preserve">$/seat/mo</t>
  </si>
  <si>
    <t xml:space="preserve">vercel.com/pricing — $20 base.</t>
  </si>
  <si>
    <t xml:space="preserve">Vercel bandwidth overage ($/GB)</t>
  </si>
  <si>
    <t xml:space="preserve">Flexprice Vercel Breakdown.</t>
  </si>
  <si>
    <t xml:space="preserve">USD → ZAR FX rate</t>
  </si>
  <si>
    <t xml:space="preserve">R/USD</t>
  </si>
  <si>
    <t xml:space="preserve">Recent XE.com mid-rate.</t>
  </si>
  <si>
    <t xml:space="preserve">Hostinger domain (R/yr)</t>
  </si>
  <si>
    <t xml:space="preserve">R/yr</t>
  </si>
  <si>
    <t xml:space="preserve">Hostinger SA.</t>
  </si>
  <si>
    <t xml:space="preserve">Apple Developer Program (USD/yr)</t>
  </si>
  <si>
    <t xml:space="preserve">$/yr</t>
  </si>
  <si>
    <t xml:space="preserve">Apple.</t>
  </si>
  <si>
    <t xml:space="preserve">Per-practitioner marginal egress (MB/mo)</t>
  </si>
  <si>
    <t xml:space="preserve">MB/mo</t>
  </si>
  <si>
    <t xml:space="preserve">Line-drawings tiny; grayscale/original cached in SW.</t>
  </si>
  <si>
    <t xml:space="preserve">Payments + tax</t>
  </si>
  <si>
    <t xml:space="preserve">PayFast blended fee % (Y1–Y2)</t>
  </si>
  <si>
    <t xml:space="preserve">3.2% card + 2% EFT, weighted 90/10.</t>
  </si>
  <si>
    <t xml:space="preserve">PayFast blended fee % (Y3+)</t>
  </si>
  <si>
    <t xml:space="preserve">Volume discount past R50k/mo.</t>
  </si>
  <si>
    <t xml:space="preserve">PayFast fixed fee per txn</t>
  </si>
  <si>
    <t xml:space="preserve">R/txn</t>
  </si>
  <si>
    <t xml:space="preserve">Flat R2.00.</t>
  </si>
  <si>
    <t xml:space="preserve">Avg txn value (credits purchase)</t>
  </si>
  <si>
    <t xml:space="preserve">R</t>
  </si>
  <si>
    <t xml:space="preserve">Bundle mix weighted.</t>
  </si>
  <si>
    <t xml:space="preserve">SA VAT rate</t>
  </si>
  <si>
    <t xml:space="preserve">SARS standard rate.</t>
  </si>
  <si>
    <t xml:space="preserve">VAT registration trigger year</t>
  </si>
  <si>
    <t xml:space="preserve">yr</t>
  </si>
  <si>
    <t xml:space="preserve">Voluntary registration when near R1M run-rate.</t>
  </si>
  <si>
    <t xml:space="preserve">Operating expenses</t>
  </si>
  <si>
    <t xml:space="preserve">Founder salary (Carl) — R/mo from Y1</t>
  </si>
  <si>
    <t xml:space="preserve">R/mo</t>
  </si>
  <si>
    <t xml:space="preserve">Treat Y1 base as equity; bump when EBITDA turns positive.</t>
  </si>
  <si>
    <t xml:space="preserve">Founder salary growth per year</t>
  </si>
  <si>
    <t xml:space="preserve">Simple pct increase.</t>
  </si>
  <si>
    <t xml:space="preserve">Marketing spend floor (R/mo)</t>
  </si>
  <si>
    <t xml:space="preserve">Content + conference + a bit of paid.</t>
  </si>
  <si>
    <t xml:space="preserve">Marketing growth per year</t>
  </si>
  <si>
    <t xml:space="preserve">Grows with revenue.</t>
  </si>
  <si>
    <t xml:space="preserve">Legal/accounting (R/mo)</t>
  </si>
  <si>
    <t xml:space="preserve">BT / bookkeeper + POPIA legal amortised.</t>
  </si>
  <si>
    <t xml:space="preserve">First hire (customer success / support) in year</t>
  </si>
  <si>
    <t xml:space="preserve">yr (0=never)</t>
  </si>
  <si>
    <t xml:space="preserve">R35k/mo when triggered.</t>
  </si>
  <si>
    <t xml:space="preserve">Hire 1 salary (R/mo)</t>
  </si>
  <si>
    <t xml:space="preserve">SA CS/support SMB.</t>
  </si>
  <si>
    <t xml:space="preserve">Second hire (engineer) in year</t>
  </si>
  <si>
    <t xml:space="preserve">R65k/mo when triggered.</t>
  </si>
  <si>
    <t xml:space="preserve">Hire 2 salary (R/mo)</t>
  </si>
  <si>
    <t xml:space="preserve">SA mid/senior mobile/full-stack.</t>
  </si>
  <si>
    <t xml:space="preserve">Scenario drivers (highlighted for sensitivity)</t>
  </si>
  <si>
    <t xml:space="preserve">Year-5 SA practitioners (target)</t>
  </si>
  <si>
    <t xml:space="preserve">paying</t>
  </si>
  <si>
    <t xml:space="preserve">TAM * reach * penetration. Scenario-selected.</t>
  </si>
  <si>
    <t xml:space="preserve">Practitioner growth — monthly Y1, quarterly Y2–Y5</t>
  </si>
  <si>
    <t xml:space="preserve">Paying practitioners drive revenue on Sheet 3. All rates come from Assumptions.</t>
  </si>
  <si>
    <t xml:space="preserve">Metric</t>
  </si>
  <si>
    <t xml:space="preserve">Y1 M1</t>
  </si>
  <si>
    <t xml:space="preserve">Y1 M2</t>
  </si>
  <si>
    <t xml:space="preserve">Y1 M3</t>
  </si>
  <si>
    <t xml:space="preserve">Y1 M4</t>
  </si>
  <si>
    <t xml:space="preserve">Y1 M5</t>
  </si>
  <si>
    <t xml:space="preserve">Y1 M6</t>
  </si>
  <si>
    <t xml:space="preserve">Y1 M7</t>
  </si>
  <si>
    <t xml:space="preserve">Y1 M8</t>
  </si>
  <si>
    <t xml:space="preserve">Y1 M9</t>
  </si>
  <si>
    <t xml:space="preserve">Y1 M10</t>
  </si>
  <si>
    <t xml:space="preserve">Y1 M11</t>
  </si>
  <si>
    <t xml:space="preserve">Y1 M12</t>
  </si>
  <si>
    <t xml:space="preserve">Y2 Q1</t>
  </si>
  <si>
    <t xml:space="preserve">Y2 Q2</t>
  </si>
  <si>
    <t xml:space="preserve">Y2 Q3</t>
  </si>
  <si>
    <t xml:space="preserve">Y2 Q4</t>
  </si>
  <si>
    <t xml:space="preserve">Y3 Q1</t>
  </si>
  <si>
    <t xml:space="preserve">Y3 Q2</t>
  </si>
  <si>
    <t xml:space="preserve">Y3 Q3</t>
  </si>
  <si>
    <t xml:space="preserve">Y3 Q4</t>
  </si>
  <si>
    <t xml:space="preserve">Y4 Q1</t>
  </si>
  <si>
    <t xml:space="preserve">Y4 Q2</t>
  </si>
  <si>
    <t xml:space="preserve">Y4 Q3</t>
  </si>
  <si>
    <t xml:space="preserve">Y4 Q4</t>
  </si>
  <si>
    <t xml:space="preserve">Y5 Q1</t>
  </si>
  <si>
    <t xml:space="preserve">Y5 Q2</t>
  </si>
  <si>
    <t xml:space="preserve">Y5 Q3</t>
  </si>
  <si>
    <t xml:space="preserve">Y5 Q4</t>
  </si>
  <si>
    <t xml:space="preserve">SA TAM (practitioners)</t>
  </si>
  <si>
    <t xml:space="preserve">SA reachable</t>
  </si>
  <si>
    <t xml:space="preserve">International TAM</t>
  </si>
  <si>
    <t xml:space="preserve">International reachable (when active)</t>
  </si>
  <si>
    <t xml:space="preserve">Total reachable</t>
  </si>
  <si>
    <t xml:space="preserve">Cumulative signups (start of period)</t>
  </si>
  <si>
    <t xml:space="preserve">New signups (period)</t>
  </si>
  <si>
    <t xml:space="preserve">New activations</t>
  </si>
  <si>
    <t xml:space="preserve">New paying</t>
  </si>
  <si>
    <t xml:space="preserve">Churned paying</t>
  </si>
  <si>
    <t xml:space="preserve">Net new paying</t>
  </si>
  <si>
    <t xml:space="preserve">Cumulative paying (end of period)</t>
  </si>
  <si>
    <t xml:space="preserve">Active paying (publishing) in period</t>
  </si>
  <si>
    <t xml:space="preserve">Referral invites generated</t>
  </si>
  <si>
    <t xml:space="preserve">Referrals that signed up</t>
  </si>
  <si>
    <t xml:space="preserve">Fraction-of-year</t>
  </si>
  <si>
    <t xml:space="preserve">(helper) Year number of this period</t>
  </si>
  <si>
    <t xml:space="preserve">(helper) Is intl active? 0/1</t>
  </si>
  <si>
    <t xml:space="preserve">Revenue — credit economics</t>
  </si>
  <si>
    <t xml:space="preserve">Active-paying × plans/month × credits/plan × R/credit × consume rate = gross.</t>
  </si>
  <si>
    <t xml:space="preserve">Active paying practitioners</t>
  </si>
  <si>
    <t xml:space="preserve">Plans published in period</t>
  </si>
  <si>
    <t xml:space="preserve">Credits consumed in period</t>
  </si>
  <si>
    <t xml:space="preserve">Credit purchases in period (≥ consumed)</t>
  </si>
  <si>
    <t xml:space="preserve">Gross revenue (ZAR, VAT-incl.)</t>
  </si>
  <si>
    <t xml:space="preserve">VAT collected (paid to SARS when registered)</t>
  </si>
  <si>
    <t xml:space="preserve">Net revenue ex-VAT (ZAR)</t>
  </si>
  <si>
    <t xml:space="preserve">Transaction count (est.)</t>
  </si>
  <si>
    <t xml:space="preserve">PayFast processing fee (ZAR)</t>
  </si>
  <si>
    <t xml:space="preserve">Net revenue after PayFast + VAT (ZAR)</t>
  </si>
  <si>
    <t xml:space="preserve">Gross USD (info)</t>
  </si>
  <si>
    <t xml:space="preserve">Costs — infra, marketing, OpEx</t>
  </si>
  <si>
    <t xml:space="preserve">Active paying practitioners (ref)</t>
  </si>
  <si>
    <t xml:space="preserve">Infra: Supabase Pro base (ZAR)</t>
  </si>
  <si>
    <t xml:space="preserve">Infra: Supabase bandwidth (ZAR)</t>
  </si>
  <si>
    <t xml:space="preserve">Infra: Vercel Pro (ZAR)</t>
  </si>
  <si>
    <t xml:space="preserve">Infra: Domain + Apple Dev amortised (ZAR)</t>
  </si>
  <si>
    <t xml:space="preserve">Infra subtotal (ZAR)</t>
  </si>
  <si>
    <t xml:space="preserve">Marketing spend (ZAR)</t>
  </si>
  <si>
    <t xml:space="preserve">Legal / accounting (ZAR)</t>
  </si>
  <si>
    <t xml:space="preserve">Founder salary (Carl) (ZAR)</t>
  </si>
  <si>
    <t xml:space="preserve">Hire 1 — Customer success (ZAR)</t>
  </si>
  <si>
    <t xml:space="preserve">Hire 2 — Engineer (ZAR)</t>
  </si>
  <si>
    <t xml:space="preserve">OpEx subtotal (ZAR)</t>
  </si>
  <si>
    <t xml:space="preserve">COGS (PayFast fees, ref)</t>
  </si>
  <si>
    <t xml:space="preserve">Total costs (ZAR)</t>
  </si>
  <si>
    <t xml:space="preserve">Total costs USD (info)</t>
  </si>
  <si>
    <t xml:space="preserve">Annual P&amp;L (ZAR)</t>
  </si>
  <si>
    <t xml:space="preserve">Line item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</si>
  <si>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</si>
  <si>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</si>
  <si>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</si>
  <si>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</si>
  <si>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</si>
  <si>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5-yr total</t>
  </si>
  <si>
    <t xml:space="preserve">Active paying (end-of-year)</t>
  </si>
  <si>
    <t xml:space="preserve">Less: VAT</t>
  </si>
  <si>
    <t xml:space="preserve">Net revenue ex-VAT</t>
  </si>
  <si>
    <t xml:space="preserve">Less: PayFast fees (COGS)</t>
  </si>
  <si>
    <t xml:space="preserve">Gross profit</t>
  </si>
  <si>
    <t xml:space="preserve">Gross margin %</t>
  </si>
  <si>
    <t xml:space="preserve">Less: Infrastructure</t>
  </si>
  <si>
    <t xml:space="preserve">Less: OpEx (marketing+legal+salaries)</t>
  </si>
  <si>
    <t xml:space="preserve">EBITDA</t>
  </si>
  <si>
    <t xml:space="preserve">EBITDA margin %</t>
  </si>
  <si>
    <t xml:space="preserve">Cumulative EBITDA</t>
  </si>
  <si>
    <t xml:space="preserve">Cash flow — monthly Y1, quarterly Y2–Y5</t>
  </si>
  <si>
    <t xml:space="preserve">Simple cash view — PayFast payout 3–5 business days assumed. No investment funding modelled.</t>
  </si>
  <si>
    <t xml:space="preserve">Cash inflow (net after PayFast)</t>
  </si>
  <si>
    <t xml:space="preserve">Cash outflow (infra + OpEx)</t>
  </si>
  <si>
    <t xml:space="preserve">VAT remitted to SARS</t>
  </si>
  <si>
    <t xml:space="preserve">Net cash flow (period)</t>
  </si>
  <si>
    <t xml:space="preserve">Opening cash</t>
  </si>
  <si>
    <t xml:space="preserve">Closing cash</t>
  </si>
  <si>
    <t xml:space="preserve">Unit economics &amp; scenario comparison</t>
  </si>
  <si>
    <t xml:space="preserve">Unit economics (active scenario)</t>
  </si>
  <si>
    <t xml:space="preserve">ARPU (monthly, active prac, ZAR ex-VAT)</t>
  </si>
  <si>
    <t xml:space="preserve">Monthly gross profit / active prac (ZAR)</t>
  </si>
  <si>
    <t xml:space="preserve">Avg lifetime months (1/churn)</t>
  </si>
  <si>
    <t xml:space="preserve">LTV (ZAR)</t>
  </si>
  <si>
    <t xml:space="preserve">Blended CAC (ZAR)</t>
  </si>
  <si>
    <t xml:space="preserve">LTV / CAC</t>
  </si>
  <si>
    <t xml:space="preserve">CAC payback (months)</t>
  </si>
  <si>
    <t xml:space="preserve">Pricing ROI for practitioner (session-value)</t>
  </si>
  <si>
    <t xml:space="preserve">Scenario snapshot (Y5 rollup)</t>
  </si>
  <si>
    <t xml:space="preserve">Conservative (scn=1)</t>
  </si>
  <si>
    <t xml:space="preserve">Base (scn=2)</t>
  </si>
  <si>
    <t xml:space="preserve">Optimistic (scn=3)</t>
  </si>
  <si>
    <t xml:space="preserve">Y5 end paying practitioners</t>
  </si>
  <si>
    <t xml:space="preserve">Y5 gross revenue (ZAR)</t>
  </si>
  <si>
    <t xml:space="preserve">Y5 EBITDA (ZAR)</t>
  </si>
  <si>
    <t xml:space="preserve">Y5 EBITDA margin</t>
  </si>
  <si>
    <t xml:space="preserve">Cumulative 5-yr EBITDA (ZAR)</t>
  </si>
  <si>
    <t xml:space="preserve">To compare scenarios: toggle Assumptions!C5 (Active scenario) to 1, 2, or 3.</t>
  </si>
  <si>
    <t xml:space="preserve">Then snapshot Y5 numbers manually into column B or D.</t>
  </si>
  <si>
    <t xml:space="preserve">Precomputed snapshots (from build — tweak inputs then resnap)</t>
  </si>
  <si>
    <t xml:space="preserve">Note: Values in cols B/D are TEXT placeholders; they don't auto-update. Use col C (live).</t>
  </si>
  <si>
    <t xml:space="preserve">Sensitivity — which assumptions move Y5 EBITDA most</t>
  </si>
  <si>
    <t xml:space="preserve">Tornado-style table. Each row measures Y5 EBITDA (Base) when a single input is flexed to Conservative (-) or Optimistic (+). See README for interpretation. Values pull live from the model as you toggle Assumptions!C5.</t>
  </si>
  <si>
    <t xml:space="preserve">Driver</t>
  </si>
  <si>
    <t xml:space="preserve">Base Y5 EBITDA</t>
  </si>
  <si>
    <t xml:space="preserve">Conservative Y5 EBITDA</t>
  </si>
  <si>
    <t xml:space="preserve">Optimistic Y5 EBITDA</t>
  </si>
  <si>
    <t xml:space="preserve">Swing (cons → opt)</t>
  </si>
  <si>
    <t xml:space="preserve">Plans per practitioner per month</t>
  </si>
  <si>
    <t xml:space="preserve">(live — toggle scn=2)</t>
  </si>
  <si>
    <t xml:space="preserve">(swap cons input only, re-snap)</t>
  </si>
  <si>
    <t xml:space="preserve">(swap opt input only, re-snap)</t>
  </si>
  <si>
    <t xml:space="preserve">D - C when filled</t>
  </si>
  <si>
    <t xml:space="preserve">Monthly churn</t>
  </si>
  <si>
    <t xml:space="preserve">Paid CAC (SA)</t>
  </si>
  <si>
    <t xml:space="preserve">Signup rate (reachable → signup)</t>
  </si>
  <si>
    <t xml:space="preserve">Revenue per credit</t>
  </si>
  <si>
    <t xml:space="preserve">International expansion start year</t>
  </si>
  <si>
    <t xml:space="preserve">Founder salary</t>
  </si>
  <si>
    <t xml:space="preserve">Marketing spend floor</t>
  </si>
  <si>
    <t xml:space="preserve">Live Y5 EBITDA (active scenario)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</si>
</sst>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[RED]\-#,##0"/>
    <numFmt numFmtId="166" formatCode="0.0%"/>
    <numFmt numFmtId="167" formatCode="\R#,##0.00;[RED]&quot;R-&quot;#,##0.00"/>
    <numFmt numFmtId="168" formatCode="0.00"/>
    <numFmt numFmtId="169" formatCode="0.00%"/>
    <numFmt numFmtId="170" formatCode="\R#,##0;[RED]&quot;R-&quot;#,##0"/>
    <numFmt numFmtId="171" formatCode="\$#,##0;[RED]&quot;$-&quot;#,##0"/>
    <numFmt numFmtId="172" formatCode="\$0.0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6B35"/>
      <name val="Montserrat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6B35"/>
      <name val="Cambria"/>
      <family val="0"/>
      <charset val="1"/>
    </font>
    <font>
      <sz val="10"/>
      <name val="Inter"/>
      <family val="0"/>
      <charset val="1"/>
    </font>
    <font>
      <i val="true"/>
      <sz val="11"/>
      <color rgb="FF666666"/>
      <name val="Cambria"/>
      <family val="0"/>
      <charset val="1"/>
    </font>
    <font>
      <i val="true"/>
      <sz val="11"/>
      <color rgb="FF888888"/>
      <name val="Cambria"/>
      <family val="0"/>
      <charset val="1"/>
    </font>
    <font>
      <b val="true"/>
      <sz val="18"/>
      <color rgb="FFFF6B35"/>
      <name val="Montserrat"/>
      <family val="0"/>
      <charset val="1"/>
    </font>
    <font>
      <i val="true"/>
      <sz val="9"/>
      <color rgb="FF666666"/>
      <name val="Cambria"/>
      <family val="0"/>
      <charset val="1"/>
    </font>
    <font>
      <i val="true"/>
      <sz val="9"/>
      <color rgb="FF888888"/>
      <name val="Cambria"/>
      <family val="0"/>
      <charset val="1"/>
    </font>
    <font>
      <b val="true"/>
      <sz val="11"/>
      <color rgb="FFFFFFFF"/>
      <name val="Inter"/>
      <family val="0"/>
      <charset val="1"/>
    </font>
    <font>
      <b val="true"/>
      <sz val="12"/>
      <color rgb="FFFF6B35"/>
      <name val="Inter"/>
      <family val="0"/>
      <charset val="1"/>
    </font>
    <font>
      <b val="true"/>
      <sz val="10"/>
      <color rgb="FF9C4820"/>
      <name val="Inter"/>
      <family val="0"/>
      <charset val="1"/>
    </font>
    <font>
      <i val="true"/>
      <sz val="10"/>
      <color rgb="FF555555"/>
      <name val="Inter"/>
      <family val="0"/>
      <charset val="1"/>
    </font>
    <font>
      <i val="true"/>
      <sz val="9"/>
      <color rgb="FF555555"/>
      <name val="Inter"/>
      <family val="0"/>
      <charset val="1"/>
    </font>
    <font>
      <b val="true"/>
      <sz val="10"/>
      <color rgb="FF1A1A1A"/>
      <name val="Inter"/>
      <family val="0"/>
      <charset val="1"/>
    </font>
    <font>
      <i val="true"/>
      <sz val="8"/>
      <color rgb="FFAAAAAA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name val="Inter"/>
      <family val="0"/>
      <charset val="1"/>
    </font>
    <font>
      <i val="true"/>
      <sz val="9"/>
      <color rgb="FFAAAAAA"/>
      <name val="Cambria"/>
      <family val="0"/>
      <charset val="1"/>
    </font>
    <font>
      <b val="true"/>
      <sz val="13"/>
      <color rgb="FFFF6B35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6B35"/>
        <bgColor rgb="FFFF8080"/>
      </patternFill>
    </fill>
    <fill>
      <patternFill patternType="solid">
        <fgColor rgb="FF262626"/>
        <bgColor rgb="FF1A1A1A"/>
      </patternFill>
    </fill>
    <fill>
      <patternFill patternType="solid">
        <fgColor rgb="FFFFF4EC"/>
        <bgColor rgb="FFF4F4F4"/>
      </patternFill>
    </fill>
    <fill>
      <patternFill patternType="solid">
        <fgColor rgb="FFF4F4F4"/>
        <bgColor rgb="FFFFF4E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8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5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8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5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8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5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8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5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8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5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8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5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8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15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18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FF6B3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AAAAA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4EC"/>
      <rgbColor rgb="FFF4F4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B35"/>
      <rgbColor rgb="FF666666"/>
      <rgbColor rgb="FFAAAAAA"/>
      <rgbColor rgb="FF003366"/>
      <rgbColor rgb="FF339966"/>
      <rgbColor rgb="FF003300"/>
      <rgbColor rgb="FF1A1A1A"/>
      <rgbColor rgb="FF9C4820"/>
      <rgbColor rgb="FF993366"/>
      <rgbColor rgb="FF555555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_cashflow_periods" displayName="tbl_cashflow_periods" ref="A4:AC10" headerRowCount="1" totalsRowCount="0" totalsRowShown="0">
  <autoFilter ref="A4:AC10"/>
  <tableColumns count="29">
    <tableColumn id="1" name="Metric"/>
    <tableColumn id="2" name="Y1 M1"/>
    <tableColumn id="3" name="Y1 M2"/>
    <tableColumn id="4" name="Y1 M3"/>
    <tableColumn id="5" name="Y1 M4"/>
    <tableColumn id="6" name="Y1 M5"/>
    <tableColumn id="7" name="Y1 M6"/>
    <tableColumn id="8" name="Y1 M7"/>
    <tableColumn id="9" name="Y1 M8"/>
    <tableColumn id="10" name="Y1 M9"/>
    <tableColumn id="11" name="Y1 M10"/>
    <tableColumn id="12" name="Y1 M11"/>
    <tableColumn id="13" name="Y1 M12"/>
    <tableColumn id="14" name="Y2 Q1"/>
    <tableColumn id="15" name="Y2 Q2"/>
    <tableColumn id="16" name="Y2 Q3"/>
    <tableColumn id="17" name="Y2 Q4"/>
    <tableColumn id="18" name="Y3 Q1"/>
    <tableColumn id="19" name="Y3 Q2"/>
    <tableColumn id="20" name="Y3 Q3"/>
    <tableColumn id="21" name="Y3 Q4"/>
    <tableColumn id="22" name="Y4 Q1"/>
    <tableColumn id="23" name="Y4 Q2"/>
    <tableColumn id="24" name="Y4 Q3"/>
    <tableColumn id="25" name="Y4 Q4"/>
    <tableColumn id="26" name="Y5 Q1"/>
    <tableColumn id="27" name="Y5 Q2"/>
    <tableColumn id="28" name="Y5 Q3"/>
    <tableColumn id="29" name="Y5 Q4"/>
  </tableColumns>
</table>
</file>

<file path=xl/tables/table2.xml><?xml version="1.0" encoding="utf-8"?>
<table xmlns="http://schemas.openxmlformats.org/spreadsheetml/2006/main" id="2" name="tbl_costs_periods" displayName="tbl_costs_periods" ref="A4:AC19" headerRowCount="1" totalsRowCount="0" totalsRowShown="0">
  <autoFilter ref="A4:AC19"/>
  <tableColumns count="29">
    <tableColumn id="1" name="Metric"/>
    <tableColumn id="2" name="Y1 M1"/>
    <tableColumn id="3" name="Y1 M2"/>
    <tableColumn id="4" name="Y1 M3"/>
    <tableColumn id="5" name="Y1 M4"/>
    <tableColumn id="6" name="Y1 M5"/>
    <tableColumn id="7" name="Y1 M6"/>
    <tableColumn id="8" name="Y1 M7"/>
    <tableColumn id="9" name="Y1 M8"/>
    <tableColumn id="10" name="Y1 M9"/>
    <tableColumn id="11" name="Y1 M10"/>
    <tableColumn id="12" name="Y1 M11"/>
    <tableColumn id="13" name="Y1 M12"/>
    <tableColumn id="14" name="Y2 Q1"/>
    <tableColumn id="15" name="Y2 Q2"/>
    <tableColumn id="16" name="Y2 Q3"/>
    <tableColumn id="17" name="Y2 Q4"/>
    <tableColumn id="18" name="Y3 Q1"/>
    <tableColumn id="19" name="Y3 Q2"/>
    <tableColumn id="20" name="Y3 Q3"/>
    <tableColumn id="21" name="Y3 Q4"/>
    <tableColumn id="22" name="Y4 Q1"/>
    <tableColumn id="23" name="Y4 Q2"/>
    <tableColumn id="24" name="Y4 Q3"/>
    <tableColumn id="25" name="Y4 Q4"/>
    <tableColumn id="26" name="Y5 Q1"/>
    <tableColumn id="27" name="Y5 Q2"/>
    <tableColumn id="28" name="Y5 Q3"/>
    <tableColumn id="29" name="Y5 Q4"/>
  </tableColumns>
</table>
</file>

<file path=xl/tables/table3.xml><?xml version="1.0" encoding="utf-8"?>
<table xmlns="http://schemas.openxmlformats.org/spreadsheetml/2006/main" id="3" name="tbl_growth_periods" displayName="tbl_growth_periods" ref="A4:AC22" headerRowCount="1" totalsRowCount="0" totalsRowShown="0">
  <autoFilter ref="A4:AC22"/>
  <tableColumns count="29">
    <tableColumn id="1" name="Metric"/>
    <tableColumn id="2" name="Y1 M1"/>
    <tableColumn id="3" name="Y1 M2"/>
    <tableColumn id="4" name="Y1 M3"/>
    <tableColumn id="5" name="Y1 M4"/>
    <tableColumn id="6" name="Y1 M5"/>
    <tableColumn id="7" name="Y1 M6"/>
    <tableColumn id="8" name="Y1 M7"/>
    <tableColumn id="9" name="Y1 M8"/>
    <tableColumn id="10" name="Y1 M9"/>
    <tableColumn id="11" name="Y1 M10"/>
    <tableColumn id="12" name="Y1 M11"/>
    <tableColumn id="13" name="Y1 M12"/>
    <tableColumn id="14" name="Y2 Q1"/>
    <tableColumn id="15" name="Y2 Q2"/>
    <tableColumn id="16" name="Y2 Q3"/>
    <tableColumn id="17" name="Y2 Q4"/>
    <tableColumn id="18" name="Y3 Q1"/>
    <tableColumn id="19" name="Y3 Q2"/>
    <tableColumn id="20" name="Y3 Q3"/>
    <tableColumn id="21" name="Y3 Q4"/>
    <tableColumn id="22" name="Y4 Q1"/>
    <tableColumn id="23" name="Y4 Q2"/>
    <tableColumn id="24" name="Y4 Q3"/>
    <tableColumn id="25" name="Y4 Q4"/>
    <tableColumn id="26" name="Y5 Q1"/>
    <tableColumn id="27" name="Y5 Q2"/>
    <tableColumn id="28" name="Y5 Q3"/>
    <tableColumn id="29" name="Y5 Q4"/>
  </tableColumns>
</table>
</file>

<file path=xl/tables/table4.xml><?xml version="1.0" encoding="utf-8"?>
<table xmlns="http://schemas.openxmlformats.org/spreadsheetml/2006/main" id="4" name="tbl_pl_annual" displayName="tbl_pl_annual" ref="A4:G16" headerRowCount="1" totalsRowCount="0" totalsRowShown="0">
  <autoFilter ref="A4:G16"/>
  <tableColumns count="7">
    <tableColumn id="1" name="Line item"/>
    <tableColumn id="2" name="Year 1"/>
    <tableColumn id="3" name="Year 2"/>
    <tableColumn id="4" name="Year 3"/>
    <tableColumn id="5" name="Year 4"/>
    <tableColumn id="6" name="Year 5"/>
    <tableColumn id="7" name="5-yr total"/>
  </tableColumns>
</table>
</file>

<file path=xl/tables/table5.xml><?xml version="1.0" encoding="utf-8"?>
<table xmlns="http://schemas.openxmlformats.org/spreadsheetml/2006/main" id="5" name="tbl_revenue_periods" displayName="tbl_revenue_periods" ref="A4:AC15" headerRowCount="1" totalsRowCount="0" totalsRowShown="0">
  <autoFilter ref="A4:AC15"/>
  <tableColumns count="29">
    <tableColumn id="1" name="Metric"/>
    <tableColumn id="2" name="Y1 M1"/>
    <tableColumn id="3" name="Y1 M2"/>
    <tableColumn id="4" name="Y1 M3"/>
    <tableColumn id="5" name="Y1 M4"/>
    <tableColumn id="6" name="Y1 M5"/>
    <tableColumn id="7" name="Y1 M6"/>
    <tableColumn id="8" name="Y1 M7"/>
    <tableColumn id="9" name="Y1 M8"/>
    <tableColumn id="10" name="Y1 M9"/>
    <tableColumn id="11" name="Y1 M10"/>
    <tableColumn id="12" name="Y1 M11"/>
    <tableColumn id="13" name="Y1 M12"/>
    <tableColumn id="14" name="Y2 Q1"/>
    <tableColumn id="15" name="Y2 Q2"/>
    <tableColumn id="16" name="Y2 Q3"/>
    <tableColumn id="17" name="Y2 Q4"/>
    <tableColumn id="18" name="Y3 Q1"/>
    <tableColumn id="19" name="Y3 Q2"/>
    <tableColumn id="20" name="Y3 Q3"/>
    <tableColumn id="21" name="Y3 Q4"/>
    <tableColumn id="22" name="Y4 Q1"/>
    <tableColumn id="23" name="Y4 Q2"/>
    <tableColumn id="24" name="Y4 Q3"/>
    <tableColumn id="25" name="Y4 Q4"/>
    <tableColumn id="26" name="Y5 Q1"/>
    <tableColumn id="27" name="Y5 Q2"/>
    <tableColumn id="28" name="Y5 Q3"/>
    <tableColumn id="29" name="Y5 Q4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</cols>
  <sheetData>
    <row r="1" customFormat="false" ht="24.4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5" customFormat="false" ht="15" hidden="false" customHeight="false" outlineLevel="0" collapsed="false">
      <c r="A5" s="3" t="s">
        <v>2</v>
      </c>
      <c r="B5" s="4" t="s">
        <v>3</v>
      </c>
    </row>
    <row r="6" customFormat="false" ht="15" hidden="false" customHeight="false" outlineLevel="0" collapsed="false">
      <c r="A6" s="3" t="s">
        <v>4</v>
      </c>
      <c r="B6" s="4" t="s">
        <v>5</v>
      </c>
    </row>
    <row r="7" customFormat="false" ht="15" hidden="false" customHeight="false" outlineLevel="0" collapsed="false">
      <c r="A7" s="3" t="s">
        <v>6</v>
      </c>
      <c r="B7" s="4" t="s">
        <v>7</v>
      </c>
    </row>
    <row r="8" customFormat="false" ht="15" hidden="false" customHeight="false" outlineLevel="0" collapsed="false">
      <c r="A8" s="3" t="s">
        <v>8</v>
      </c>
      <c r="B8" s="4" t="s">
        <v>9</v>
      </c>
    </row>
    <row r="9" customFormat="false" ht="15" hidden="false" customHeight="false" outlineLevel="0" collapsed="false">
      <c r="A9" s="3" t="s">
        <v>10</v>
      </c>
      <c r="B9" s="4" t="s">
        <v>11</v>
      </c>
    </row>
    <row r="10" customFormat="false" ht="15" hidden="false" customHeight="false" outlineLevel="0" collapsed="false">
      <c r="A10" s="3" t="s">
        <v>12</v>
      </c>
      <c r="B10" s="4" t="s">
        <v>13</v>
      </c>
    </row>
    <row r="11" customFormat="false" ht="15" hidden="false" customHeight="false" outlineLevel="0" collapsed="false">
      <c r="A11" s="3" t="s">
        <v>14</v>
      </c>
      <c r="B11" s="4" t="s">
        <v>15</v>
      </c>
    </row>
    <row r="12" customFormat="false" ht="15" hidden="false" customHeight="false" outlineLevel="0" collapsed="false">
      <c r="A12" s="3" t="s">
        <v>16</v>
      </c>
      <c r="B12" s="4" t="s">
        <v>17</v>
      </c>
    </row>
    <row r="15" customFormat="false" ht="15" hidden="false" customHeight="false" outlineLevel="0" collapsed="false">
      <c r="A15" s="5" t="s">
        <v>18</v>
      </c>
    </row>
    <row r="16" customFormat="false" ht="15" hidden="false" customHeight="false" outlineLevel="0" collapsed="false">
      <c r="A16" s="5" t="s">
        <v>19</v>
      </c>
    </row>
    <row r="17" customFormat="false" ht="15" hidden="false" customHeight="false" outlineLevel="0" collapsed="false">
      <c r="A17" s="6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4" min="2" style="0" width="14"/>
    <col collapsed="false" customWidth="true" hidden="false" outlineLevel="0" max="5" min="5" style="0" width="10"/>
    <col collapsed="false" customWidth="true" hidden="false" outlineLevel="0" max="6" min="6" style="0" width="50"/>
    <col collapsed="false" customWidth="true" hidden="false" outlineLevel="0" max="7" min="7" style="0" width="14"/>
  </cols>
  <sheetData>
    <row r="1" customFormat="false" ht="22.05" hidden="false" customHeight="false" outlineLevel="0" collapsed="false">
      <c r="A1" s="7" t="s">
        <v>21</v>
      </c>
      <c r="B1" s="7"/>
      <c r="C1" s="7"/>
      <c r="D1" s="7"/>
      <c r="E1" s="7"/>
      <c r="F1" s="7"/>
    </row>
    <row r="2" customFormat="false" ht="15" hidden="false" customHeight="false" outlineLevel="0" collapsed="false">
      <c r="A2" s="8" t="s">
        <v>22</v>
      </c>
      <c r="B2" s="8"/>
      <c r="C2" s="8"/>
      <c r="D2" s="8"/>
      <c r="E2" s="8"/>
      <c r="F2" s="8"/>
    </row>
    <row r="3" customFormat="false" ht="15" hidden="false" customHeight="false" outlineLevel="0" collapsed="false">
      <c r="A3" s="9" t="s">
        <v>23</v>
      </c>
      <c r="B3" s="9"/>
      <c r="C3" s="9"/>
      <c r="D3" s="9"/>
      <c r="E3" s="9"/>
      <c r="F3" s="9"/>
    </row>
    <row r="4" customFormat="false" ht="15" hidden="false" customHeight="false" outlineLevel="0" collapsed="false">
      <c r="A4" s="10" t="s">
        <v>24</v>
      </c>
      <c r="B4" s="10" t="s">
        <v>25</v>
      </c>
      <c r="C4" s="10" t="s">
        <v>26</v>
      </c>
      <c r="D4" s="10" t="s">
        <v>27</v>
      </c>
      <c r="E4" s="10" t="s">
        <v>28</v>
      </c>
      <c r="F4" s="10" t="s">
        <v>29</v>
      </c>
      <c r="G4" s="10" t="s">
        <v>30</v>
      </c>
    </row>
    <row r="5" customFormat="false" ht="18.65" hidden="false" customHeight="true" outlineLevel="0" collapsed="false">
      <c r="A5" s="11" t="s">
        <v>31</v>
      </c>
      <c r="B5" s="11"/>
      <c r="C5" s="11"/>
      <c r="D5" s="11"/>
      <c r="E5" s="11"/>
      <c r="F5" s="11"/>
    </row>
    <row r="6" customFormat="false" ht="28.35" hidden="false" customHeight="false" outlineLevel="0" collapsed="false">
      <c r="A6" s="4" t="s">
        <v>32</v>
      </c>
      <c r="B6" s="12"/>
      <c r="C6" s="12" t="n">
        <v>2</v>
      </c>
      <c r="D6" s="12"/>
      <c r="E6" s="13" t="s">
        <v>33</v>
      </c>
      <c r="F6" s="14" t="s">
        <v>34</v>
      </c>
      <c r="G6" s="15" t="n">
        <f aca="false">scn</f>
        <v>2</v>
      </c>
    </row>
    <row r="7" customFormat="false" ht="18.65" hidden="false" customHeight="true" outlineLevel="0" collapsed="false">
      <c r="A7" s="11" t="s">
        <v>35</v>
      </c>
      <c r="B7" s="11"/>
      <c r="C7" s="11"/>
      <c r="D7" s="11"/>
      <c r="E7" s="11"/>
      <c r="F7" s="11"/>
    </row>
    <row r="8" customFormat="false" ht="15" hidden="false" customHeight="false" outlineLevel="0" collapsed="false">
      <c r="A8" s="4" t="s">
        <v>36</v>
      </c>
      <c r="B8" s="12" t="n">
        <v>2000</v>
      </c>
      <c r="C8" s="12" t="n">
        <v>2400</v>
      </c>
      <c r="D8" s="12" t="n">
        <v>2800</v>
      </c>
      <c r="E8" s="13" t="s">
        <v>37</v>
      </c>
      <c r="F8" s="14" t="s">
        <v>38</v>
      </c>
      <c r="G8" s="15" t="n">
        <f aca="false">CHOOSE(scn, Assumptions!B8, Assumptions!C8, Assumptions!D8)</f>
        <v>2400</v>
      </c>
    </row>
    <row r="9" customFormat="false" ht="15" hidden="false" customHeight="false" outlineLevel="0" collapsed="false">
      <c r="A9" s="4" t="s">
        <v>39</v>
      </c>
      <c r="B9" s="12" t="n">
        <v>9000</v>
      </c>
      <c r="C9" s="12" t="n">
        <v>9235</v>
      </c>
      <c r="D9" s="12" t="n">
        <v>9500</v>
      </c>
      <c r="E9" s="13" t="s">
        <v>37</v>
      </c>
      <c r="F9" s="14" t="s">
        <v>40</v>
      </c>
      <c r="G9" s="15" t="n">
        <f aca="false">CHOOSE(scn, Assumptions!B9, Assumptions!C9, Assumptions!D9)</f>
        <v>9235</v>
      </c>
    </row>
    <row r="10" customFormat="false" ht="15" hidden="false" customHeight="false" outlineLevel="0" collapsed="false">
      <c r="A10" s="4" t="s">
        <v>41</v>
      </c>
      <c r="B10" s="12" t="n">
        <v>8000</v>
      </c>
      <c r="C10" s="12" t="n">
        <v>11000</v>
      </c>
      <c r="D10" s="12" t="n">
        <v>14000</v>
      </c>
      <c r="E10" s="13" t="s">
        <v>37</v>
      </c>
      <c r="F10" s="14" t="s">
        <v>42</v>
      </c>
      <c r="G10" s="15" t="n">
        <f aca="false">CHOOSE(scn, Assumptions!B10, Assumptions!C10, Assumptions!D10)</f>
        <v>11000</v>
      </c>
    </row>
    <row r="11" customFormat="false" ht="15" hidden="false" customHeight="false" outlineLevel="0" collapsed="false">
      <c r="A11" s="4" t="s">
        <v>43</v>
      </c>
      <c r="B11" s="16" t="n">
        <v>0.35</v>
      </c>
      <c r="C11" s="16" t="n">
        <v>0.55</v>
      </c>
      <c r="D11" s="16" t="n">
        <v>0.7</v>
      </c>
      <c r="E11" s="13" t="s">
        <v>44</v>
      </c>
      <c r="F11" s="14" t="s">
        <v>45</v>
      </c>
      <c r="G11" s="17" t="n">
        <f aca="false">CHOOSE(scn, Assumptions!B11, Assumptions!C11, Assumptions!D11)</f>
        <v>0.55</v>
      </c>
    </row>
    <row r="12" customFormat="false" ht="18.65" hidden="false" customHeight="true" outlineLevel="0" collapsed="false">
      <c r="A12" s="11" t="s">
        <v>46</v>
      </c>
      <c r="B12" s="11"/>
      <c r="C12" s="11"/>
      <c r="D12" s="11"/>
      <c r="E12" s="11"/>
      <c r="F12" s="11"/>
    </row>
    <row r="13" customFormat="false" ht="15" hidden="false" customHeight="false" outlineLevel="0" collapsed="false">
      <c r="A13" s="4" t="s">
        <v>47</v>
      </c>
      <c r="B13" s="12" t="n">
        <v>38000</v>
      </c>
      <c r="C13" s="12" t="n">
        <v>39781</v>
      </c>
      <c r="D13" s="12" t="n">
        <v>41000</v>
      </c>
      <c r="E13" s="13" t="s">
        <v>37</v>
      </c>
      <c r="F13" s="14" t="s">
        <v>48</v>
      </c>
      <c r="G13" s="15" t="n">
        <f aca="false">CHOOSE(scn, Assumptions!B13, Assumptions!C13, Assumptions!D13)</f>
        <v>39781</v>
      </c>
    </row>
    <row r="14" customFormat="false" ht="15" hidden="false" customHeight="false" outlineLevel="0" collapsed="false">
      <c r="A14" s="4" t="s">
        <v>49</v>
      </c>
      <c r="B14" s="12" t="n">
        <v>10000</v>
      </c>
      <c r="C14" s="12" t="n">
        <v>11000</v>
      </c>
      <c r="D14" s="12" t="n">
        <v>13000</v>
      </c>
      <c r="E14" s="13" t="s">
        <v>37</v>
      </c>
      <c r="F14" s="14" t="s">
        <v>50</v>
      </c>
      <c r="G14" s="15" t="n">
        <f aca="false">CHOOSE(scn, Assumptions!B14, Assumptions!C14, Assumptions!D14)</f>
        <v>11000</v>
      </c>
    </row>
    <row r="15" customFormat="false" ht="15" hidden="false" customHeight="false" outlineLevel="0" collapsed="false">
      <c r="A15" s="4" t="s">
        <v>51</v>
      </c>
      <c r="B15" s="12" t="n">
        <v>62000</v>
      </c>
      <c r="C15" s="12" t="n">
        <v>64000</v>
      </c>
      <c r="D15" s="12" t="n">
        <v>66000</v>
      </c>
      <c r="E15" s="13" t="s">
        <v>37</v>
      </c>
      <c r="F15" s="14" t="s">
        <v>52</v>
      </c>
      <c r="G15" s="15" t="n">
        <f aca="false">CHOOSE(scn, Assumptions!B15, Assumptions!C15, Assumptions!D15)</f>
        <v>64000</v>
      </c>
    </row>
    <row r="16" customFormat="false" ht="15" hidden="false" customHeight="false" outlineLevel="0" collapsed="false">
      <c r="A16" s="4" t="s">
        <v>53</v>
      </c>
      <c r="B16" s="12" t="n">
        <v>48000</v>
      </c>
      <c r="C16" s="12" t="n">
        <v>50864</v>
      </c>
      <c r="D16" s="12" t="n">
        <v>53000</v>
      </c>
      <c r="E16" s="13" t="s">
        <v>37</v>
      </c>
      <c r="F16" s="14" t="s">
        <v>54</v>
      </c>
      <c r="G16" s="15" t="n">
        <f aca="false">CHOOSE(scn, Assumptions!B16, Assumptions!C16, Assumptions!D16)</f>
        <v>50864</v>
      </c>
    </row>
    <row r="17" customFormat="false" ht="15" hidden="false" customHeight="false" outlineLevel="0" collapsed="false">
      <c r="A17" s="4" t="s">
        <v>55</v>
      </c>
      <c r="B17" s="16" t="n">
        <v>0.1</v>
      </c>
      <c r="C17" s="16" t="n">
        <v>0.2</v>
      </c>
      <c r="D17" s="16" t="n">
        <v>0.3</v>
      </c>
      <c r="E17" s="13" t="s">
        <v>44</v>
      </c>
      <c r="F17" s="14" t="s">
        <v>56</v>
      </c>
      <c r="G17" s="17" t="n">
        <f aca="false">CHOOSE(scn, Assumptions!B17, Assumptions!C17, Assumptions!D17)</f>
        <v>0.2</v>
      </c>
    </row>
    <row r="18" customFormat="false" ht="15" hidden="false" customHeight="false" outlineLevel="0" collapsed="false">
      <c r="A18" s="4" t="s">
        <v>57</v>
      </c>
      <c r="B18" s="12" t="n">
        <v>4</v>
      </c>
      <c r="C18" s="12" t="n">
        <v>3</v>
      </c>
      <c r="D18" s="12" t="n">
        <v>2</v>
      </c>
      <c r="E18" s="13" t="s">
        <v>58</v>
      </c>
      <c r="F18" s="14" t="s">
        <v>59</v>
      </c>
      <c r="G18" s="15" t="n">
        <f aca="false">CHOOSE(scn, Assumptions!B18, Assumptions!C18, Assumptions!D18)</f>
        <v>3</v>
      </c>
    </row>
    <row r="19" customFormat="false" ht="18.65" hidden="false" customHeight="true" outlineLevel="0" collapsed="false">
      <c r="A19" s="11" t="s">
        <v>60</v>
      </c>
      <c r="B19" s="11"/>
      <c r="C19" s="11"/>
      <c r="D19" s="11"/>
      <c r="E19" s="11"/>
      <c r="F19" s="11"/>
    </row>
    <row r="20" customFormat="false" ht="22.35" hidden="false" customHeight="false" outlineLevel="0" collapsed="false">
      <c r="A20" s="4" t="s">
        <v>61</v>
      </c>
      <c r="B20" s="18" t="n">
        <v>20</v>
      </c>
      <c r="C20" s="18" t="n">
        <v>22.5</v>
      </c>
      <c r="D20" s="18" t="n">
        <v>25</v>
      </c>
      <c r="E20" s="13" t="s">
        <v>62</v>
      </c>
      <c r="F20" s="14" t="s">
        <v>63</v>
      </c>
      <c r="G20" s="19" t="n">
        <f aca="false">CHOOSE(scn, Assumptions!B20, Assumptions!C20, Assumptions!D20)</f>
        <v>22.5</v>
      </c>
    </row>
    <row r="21" customFormat="false" ht="15" hidden="false" customHeight="false" outlineLevel="0" collapsed="false">
      <c r="A21" s="4" t="s">
        <v>64</v>
      </c>
      <c r="B21" s="12" t="n">
        <v>15</v>
      </c>
      <c r="C21" s="12" t="n">
        <v>35</v>
      </c>
      <c r="D21" s="12" t="n">
        <v>60</v>
      </c>
      <c r="E21" s="13" t="s">
        <v>65</v>
      </c>
      <c r="F21" s="14" t="s">
        <v>66</v>
      </c>
      <c r="G21" s="15" t="n">
        <f aca="false">CHOOSE(scn, Assumptions!B21, Assumptions!C21, Assumptions!D21)</f>
        <v>35</v>
      </c>
    </row>
    <row r="22" customFormat="false" ht="28.35" hidden="false" customHeight="false" outlineLevel="0" collapsed="false">
      <c r="A22" s="4" t="s">
        <v>67</v>
      </c>
      <c r="B22" s="20" t="n">
        <v>1.1</v>
      </c>
      <c r="C22" s="20" t="n">
        <v>1.3</v>
      </c>
      <c r="D22" s="20" t="n">
        <v>1.6</v>
      </c>
      <c r="E22" s="13" t="s">
        <v>68</v>
      </c>
      <c r="F22" s="14" t="s">
        <v>69</v>
      </c>
      <c r="G22" s="21" t="n">
        <f aca="false">CHOOSE(scn, Assumptions!B22, Assumptions!C22, Assumptions!D22)</f>
        <v>1.3</v>
      </c>
    </row>
    <row r="23" customFormat="false" ht="15" hidden="false" customHeight="false" outlineLevel="0" collapsed="false">
      <c r="A23" s="4" t="s">
        <v>70</v>
      </c>
      <c r="B23" s="16" t="n">
        <v>0.75</v>
      </c>
      <c r="C23" s="16" t="n">
        <v>0.85</v>
      </c>
      <c r="D23" s="16" t="n">
        <v>0.95</v>
      </c>
      <c r="E23" s="13" t="s">
        <v>44</v>
      </c>
      <c r="F23" s="14" t="s">
        <v>71</v>
      </c>
      <c r="G23" s="17" t="n">
        <f aca="false">CHOOSE(scn, Assumptions!B23, Assumptions!C23, Assumptions!D23)</f>
        <v>0.85</v>
      </c>
    </row>
    <row r="24" customFormat="false" ht="18.65" hidden="false" customHeight="true" outlineLevel="0" collapsed="false">
      <c r="A24" s="11" t="s">
        <v>72</v>
      </c>
      <c r="B24" s="11"/>
      <c r="C24" s="11"/>
      <c r="D24" s="11"/>
      <c r="E24" s="11"/>
      <c r="F24" s="11"/>
    </row>
    <row r="25" customFormat="false" ht="15" hidden="false" customHeight="false" outlineLevel="0" collapsed="false">
      <c r="A25" s="4" t="s">
        <v>73</v>
      </c>
      <c r="B25" s="22" t="n">
        <v>0.01</v>
      </c>
      <c r="C25" s="22" t="n">
        <v>0.02</v>
      </c>
      <c r="D25" s="22" t="n">
        <v>0.035</v>
      </c>
      <c r="E25" s="13" t="s">
        <v>74</v>
      </c>
      <c r="F25" s="14" t="s">
        <v>75</v>
      </c>
      <c r="G25" s="23" t="n">
        <f aca="false">CHOOSE(scn, Assumptions!B25, Assumptions!C25, Assumptions!D25)</f>
        <v>0.02</v>
      </c>
    </row>
    <row r="26" customFormat="false" ht="15" hidden="false" customHeight="false" outlineLevel="0" collapsed="false">
      <c r="A26" s="4" t="s">
        <v>76</v>
      </c>
      <c r="B26" s="16" t="n">
        <v>0.25</v>
      </c>
      <c r="C26" s="16" t="n">
        <v>0.375</v>
      </c>
      <c r="D26" s="16" t="n">
        <v>0.5</v>
      </c>
      <c r="E26" s="13" t="s">
        <v>44</v>
      </c>
      <c r="F26" s="14" t="s">
        <v>77</v>
      </c>
      <c r="G26" s="17" t="n">
        <f aca="false">CHOOSE(scn, Assumptions!B26, Assumptions!C26, Assumptions!D26)</f>
        <v>0.375</v>
      </c>
    </row>
    <row r="27" customFormat="false" ht="15" hidden="false" customHeight="false" outlineLevel="0" collapsed="false">
      <c r="A27" s="4" t="s">
        <v>78</v>
      </c>
      <c r="B27" s="16" t="n">
        <v>0.12</v>
      </c>
      <c r="C27" s="16" t="n">
        <v>0.215</v>
      </c>
      <c r="D27" s="16" t="n">
        <v>0.3</v>
      </c>
      <c r="E27" s="13" t="s">
        <v>44</v>
      </c>
      <c r="F27" s="14" t="s">
        <v>79</v>
      </c>
      <c r="G27" s="17" t="n">
        <f aca="false">CHOOSE(scn, Assumptions!B27, Assumptions!C27, Assumptions!D27)</f>
        <v>0.215</v>
      </c>
    </row>
    <row r="28" customFormat="false" ht="15" hidden="false" customHeight="false" outlineLevel="0" collapsed="false">
      <c r="A28" s="4" t="s">
        <v>80</v>
      </c>
      <c r="B28" s="20" t="n">
        <v>0.15</v>
      </c>
      <c r="C28" s="20" t="n">
        <v>0.35</v>
      </c>
      <c r="D28" s="20" t="n">
        <v>0.6</v>
      </c>
      <c r="E28" s="13" t="s">
        <v>81</v>
      </c>
      <c r="F28" s="14" t="s">
        <v>82</v>
      </c>
      <c r="G28" s="21" t="n">
        <f aca="false">CHOOSE(scn, Assumptions!B28, Assumptions!C28, Assumptions!D28)</f>
        <v>0.35</v>
      </c>
    </row>
    <row r="29" customFormat="false" ht="15" hidden="false" customHeight="false" outlineLevel="0" collapsed="false">
      <c r="A29" s="4" t="s">
        <v>83</v>
      </c>
      <c r="B29" s="16" t="n">
        <v>0.12</v>
      </c>
      <c r="C29" s="16" t="n">
        <v>0.22</v>
      </c>
      <c r="D29" s="16" t="n">
        <v>0.35</v>
      </c>
      <c r="E29" s="13" t="s">
        <v>44</v>
      </c>
      <c r="F29" s="14" t="s">
        <v>84</v>
      </c>
      <c r="G29" s="17" t="n">
        <f aca="false">CHOOSE(scn, Assumptions!B29, Assumptions!C29, Assumptions!D29)</f>
        <v>0.22</v>
      </c>
    </row>
    <row r="30" customFormat="false" ht="18.65" hidden="false" customHeight="true" outlineLevel="0" collapsed="false">
      <c r="A30" s="11" t="s">
        <v>85</v>
      </c>
      <c r="B30" s="11"/>
      <c r="C30" s="11"/>
      <c r="D30" s="11"/>
      <c r="E30" s="11"/>
      <c r="F30" s="11"/>
    </row>
    <row r="31" customFormat="false" ht="15" hidden="false" customHeight="false" outlineLevel="0" collapsed="false">
      <c r="A31" s="4" t="s">
        <v>86</v>
      </c>
      <c r="B31" s="22" t="n">
        <v>0.06</v>
      </c>
      <c r="C31" s="22" t="n">
        <v>0.04</v>
      </c>
      <c r="D31" s="22" t="n">
        <v>0.025</v>
      </c>
      <c r="E31" s="13" t="s">
        <v>87</v>
      </c>
      <c r="F31" s="14" t="s">
        <v>88</v>
      </c>
      <c r="G31" s="23" t="n">
        <f aca="false">CHOOSE(scn, Assumptions!B31, Assumptions!C31, Assumptions!D31)</f>
        <v>0.04</v>
      </c>
    </row>
    <row r="32" customFormat="false" ht="15" hidden="false" customHeight="false" outlineLevel="0" collapsed="false">
      <c r="A32" s="4" t="s">
        <v>89</v>
      </c>
      <c r="B32" s="22" t="n">
        <v>0.04</v>
      </c>
      <c r="C32" s="22" t="n">
        <v>0.03</v>
      </c>
      <c r="D32" s="22" t="n">
        <v>0.015</v>
      </c>
      <c r="E32" s="13" t="s">
        <v>90</v>
      </c>
      <c r="F32" s="14" t="s">
        <v>91</v>
      </c>
      <c r="G32" s="23" t="n">
        <f aca="false">CHOOSE(scn, Assumptions!B32, Assumptions!C32, Assumptions!D32)</f>
        <v>0.03</v>
      </c>
    </row>
    <row r="33" customFormat="false" ht="18.65" hidden="false" customHeight="true" outlineLevel="0" collapsed="false">
      <c r="A33" s="11" t="s">
        <v>92</v>
      </c>
      <c r="B33" s="11"/>
      <c r="C33" s="11"/>
      <c r="D33" s="11"/>
      <c r="E33" s="11"/>
      <c r="F33" s="11"/>
    </row>
    <row r="34" customFormat="false" ht="15" hidden="false" customHeight="false" outlineLevel="0" collapsed="false">
      <c r="A34" s="4" t="s">
        <v>93</v>
      </c>
      <c r="B34" s="12" t="n">
        <v>40</v>
      </c>
      <c r="C34" s="12" t="n">
        <v>100</v>
      </c>
      <c r="D34" s="12" t="n">
        <v>200</v>
      </c>
      <c r="E34" s="13" t="s">
        <v>94</v>
      </c>
      <c r="F34" s="14" t="s">
        <v>95</v>
      </c>
      <c r="G34" s="15" t="n">
        <f aca="false">CHOOSE(scn, Assumptions!B34, Assumptions!C34, Assumptions!D34)</f>
        <v>100</v>
      </c>
    </row>
    <row r="35" customFormat="false" ht="15" hidden="false" customHeight="false" outlineLevel="0" collapsed="false">
      <c r="A35" s="4" t="s">
        <v>96</v>
      </c>
      <c r="B35" s="12" t="n">
        <v>100</v>
      </c>
      <c r="C35" s="12" t="n">
        <v>300</v>
      </c>
      <c r="D35" s="12" t="n">
        <v>600</v>
      </c>
      <c r="E35" s="13" t="s">
        <v>94</v>
      </c>
      <c r="F35" s="14" t="s">
        <v>97</v>
      </c>
      <c r="G35" s="15" t="n">
        <f aca="false">CHOOSE(scn, Assumptions!B35, Assumptions!C35, Assumptions!D35)</f>
        <v>300</v>
      </c>
    </row>
    <row r="36" customFormat="false" ht="15" hidden="false" customHeight="false" outlineLevel="0" collapsed="false">
      <c r="A36" s="4" t="s">
        <v>98</v>
      </c>
      <c r="B36" s="24" t="n">
        <v>800</v>
      </c>
      <c r="C36" s="24" t="n">
        <v>520</v>
      </c>
      <c r="D36" s="24" t="n">
        <v>300</v>
      </c>
      <c r="E36" s="13" t="s">
        <v>99</v>
      </c>
      <c r="F36" s="14" t="s">
        <v>100</v>
      </c>
      <c r="G36" s="25" t="n">
        <f aca="false">CHOOSE(scn, Assumptions!B36, Assumptions!C36, Assumptions!D36)</f>
        <v>520</v>
      </c>
    </row>
    <row r="37" customFormat="false" ht="15" hidden="false" customHeight="false" outlineLevel="0" collapsed="false">
      <c r="A37" s="4" t="s">
        <v>101</v>
      </c>
      <c r="B37" s="24" t="n">
        <v>2500</v>
      </c>
      <c r="C37" s="24" t="n">
        <v>1600</v>
      </c>
      <c r="D37" s="24" t="n">
        <v>1000</v>
      </c>
      <c r="E37" s="13" t="s">
        <v>99</v>
      </c>
      <c r="F37" s="14" t="s">
        <v>102</v>
      </c>
      <c r="G37" s="25" t="n">
        <f aca="false">CHOOSE(scn, Assumptions!B37, Assumptions!C37, Assumptions!D37)</f>
        <v>1600</v>
      </c>
    </row>
    <row r="38" customFormat="false" ht="15" hidden="false" customHeight="false" outlineLevel="0" collapsed="false">
      <c r="A38" s="4" t="s">
        <v>103</v>
      </c>
      <c r="B38" s="24" t="n">
        <v>80</v>
      </c>
      <c r="C38" s="24" t="n">
        <v>50</v>
      </c>
      <c r="D38" s="24" t="n">
        <v>30</v>
      </c>
      <c r="E38" s="13" t="s">
        <v>99</v>
      </c>
      <c r="F38" s="14" t="s">
        <v>104</v>
      </c>
      <c r="G38" s="25" t="n">
        <f aca="false">CHOOSE(scn, Assumptions!B38, Assumptions!C38, Assumptions!D38)</f>
        <v>50</v>
      </c>
    </row>
    <row r="39" customFormat="false" ht="15" hidden="false" customHeight="false" outlineLevel="0" collapsed="false">
      <c r="A39" s="4" t="s">
        <v>105</v>
      </c>
      <c r="B39" s="16" t="n">
        <v>0.35</v>
      </c>
      <c r="C39" s="16" t="n">
        <v>0.5</v>
      </c>
      <c r="D39" s="16" t="n">
        <v>0.6</v>
      </c>
      <c r="E39" s="13" t="s">
        <v>44</v>
      </c>
      <c r="F39" s="14" t="s">
        <v>106</v>
      </c>
      <c r="G39" s="17" t="n">
        <f aca="false">CHOOSE(scn, Assumptions!B39, Assumptions!C39, Assumptions!D39)</f>
        <v>0.5</v>
      </c>
    </row>
    <row r="40" customFormat="false" ht="15" hidden="false" customHeight="false" outlineLevel="0" collapsed="false">
      <c r="A40" s="4" t="s">
        <v>107</v>
      </c>
      <c r="B40" s="16" t="n">
        <v>0.45</v>
      </c>
      <c r="C40" s="16" t="n">
        <v>0.3</v>
      </c>
      <c r="D40" s="16" t="n">
        <v>0.2</v>
      </c>
      <c r="E40" s="13" t="s">
        <v>44</v>
      </c>
      <c r="F40" s="14" t="s">
        <v>108</v>
      </c>
      <c r="G40" s="17" t="n">
        <f aca="false">CHOOSE(scn, Assumptions!B40, Assumptions!C40, Assumptions!D40)</f>
        <v>0.3</v>
      </c>
    </row>
    <row r="41" customFormat="false" ht="15" hidden="false" customHeight="false" outlineLevel="0" collapsed="false">
      <c r="A41" s="4" t="s">
        <v>109</v>
      </c>
      <c r="B41" s="16" t="n">
        <v>0.2</v>
      </c>
      <c r="C41" s="16" t="n">
        <v>0.2</v>
      </c>
      <c r="D41" s="16" t="n">
        <v>0.2</v>
      </c>
      <c r="E41" s="13" t="s">
        <v>44</v>
      </c>
      <c r="F41" s="14" t="s">
        <v>110</v>
      </c>
      <c r="G41" s="17" t="n">
        <f aca="false">CHOOSE(scn, Assumptions!B41, Assumptions!C41, Assumptions!D41)</f>
        <v>0.2</v>
      </c>
    </row>
    <row r="42" customFormat="false" ht="18.65" hidden="false" customHeight="true" outlineLevel="0" collapsed="false">
      <c r="A42" s="11" t="s">
        <v>111</v>
      </c>
      <c r="B42" s="11"/>
      <c r="C42" s="11"/>
      <c r="D42" s="11"/>
      <c r="E42" s="11"/>
      <c r="F42" s="11"/>
    </row>
    <row r="43" customFormat="false" ht="15" hidden="false" customHeight="false" outlineLevel="0" collapsed="false">
      <c r="A43" s="4" t="s">
        <v>112</v>
      </c>
      <c r="B43" s="26" t="n">
        <v>30</v>
      </c>
      <c r="C43" s="26" t="n">
        <v>25</v>
      </c>
      <c r="D43" s="26" t="n">
        <v>25</v>
      </c>
      <c r="E43" s="13" t="s">
        <v>113</v>
      </c>
      <c r="F43" s="14" t="s">
        <v>114</v>
      </c>
      <c r="G43" s="27" t="n">
        <f aca="false">CHOOSE(scn, Assumptions!B43, Assumptions!C43, Assumptions!D43)</f>
        <v>25</v>
      </c>
    </row>
    <row r="44" customFormat="false" ht="15" hidden="false" customHeight="false" outlineLevel="0" collapsed="false">
      <c r="A44" s="4" t="s">
        <v>115</v>
      </c>
      <c r="B44" s="28" t="n">
        <v>0.09</v>
      </c>
      <c r="C44" s="28" t="n">
        <v>0.09</v>
      </c>
      <c r="D44" s="28" t="n">
        <v>0.09</v>
      </c>
      <c r="E44" s="13" t="s">
        <v>116</v>
      </c>
      <c r="F44" s="14" t="s">
        <v>117</v>
      </c>
      <c r="G44" s="29" t="n">
        <f aca="false">CHOOSE(scn, Assumptions!B44, Assumptions!C44, Assumptions!D44)</f>
        <v>0.09</v>
      </c>
    </row>
    <row r="45" customFormat="false" ht="15" hidden="false" customHeight="false" outlineLevel="0" collapsed="false">
      <c r="A45" s="4" t="s">
        <v>118</v>
      </c>
      <c r="B45" s="26" t="n">
        <v>25</v>
      </c>
      <c r="C45" s="26" t="n">
        <v>20</v>
      </c>
      <c r="D45" s="26" t="n">
        <v>20</v>
      </c>
      <c r="E45" s="13" t="s">
        <v>119</v>
      </c>
      <c r="F45" s="14" t="s">
        <v>120</v>
      </c>
      <c r="G45" s="27" t="n">
        <f aca="false">CHOOSE(scn, Assumptions!B45, Assumptions!C45, Assumptions!D45)</f>
        <v>20</v>
      </c>
    </row>
    <row r="46" customFormat="false" ht="15" hidden="false" customHeight="false" outlineLevel="0" collapsed="false">
      <c r="A46" s="4" t="s">
        <v>121</v>
      </c>
      <c r="B46" s="28" t="n">
        <v>0.15</v>
      </c>
      <c r="C46" s="28" t="n">
        <v>0.15</v>
      </c>
      <c r="D46" s="28" t="n">
        <v>0.15</v>
      </c>
      <c r="E46" s="13" t="s">
        <v>116</v>
      </c>
      <c r="F46" s="14" t="s">
        <v>122</v>
      </c>
      <c r="G46" s="29" t="n">
        <f aca="false">CHOOSE(scn, Assumptions!B46, Assumptions!C46, Assumptions!D46)</f>
        <v>0.15</v>
      </c>
    </row>
    <row r="47" customFormat="false" ht="15" hidden="false" customHeight="false" outlineLevel="0" collapsed="false">
      <c r="A47" s="4" t="s">
        <v>123</v>
      </c>
      <c r="B47" s="20" t="n">
        <v>20</v>
      </c>
      <c r="C47" s="20" t="n">
        <v>19</v>
      </c>
      <c r="D47" s="20" t="n">
        <v>18</v>
      </c>
      <c r="E47" s="13" t="s">
        <v>124</v>
      </c>
      <c r="F47" s="14" t="s">
        <v>125</v>
      </c>
      <c r="G47" s="21" t="n">
        <f aca="false">CHOOSE(scn, Assumptions!B47, Assumptions!C47, Assumptions!D47)</f>
        <v>19</v>
      </c>
    </row>
    <row r="48" customFormat="false" ht="15" hidden="false" customHeight="false" outlineLevel="0" collapsed="false">
      <c r="A48" s="4" t="s">
        <v>126</v>
      </c>
      <c r="B48" s="24" t="n">
        <v>400</v>
      </c>
      <c r="C48" s="24" t="n">
        <v>250</v>
      </c>
      <c r="D48" s="24" t="n">
        <v>200</v>
      </c>
      <c r="E48" s="13" t="s">
        <v>127</v>
      </c>
      <c r="F48" s="14" t="s">
        <v>128</v>
      </c>
      <c r="G48" s="25" t="n">
        <f aca="false">CHOOSE(scn, Assumptions!B48, Assumptions!C48, Assumptions!D48)</f>
        <v>250</v>
      </c>
    </row>
    <row r="49" customFormat="false" ht="15" hidden="false" customHeight="false" outlineLevel="0" collapsed="false">
      <c r="A49" s="4" t="s">
        <v>129</v>
      </c>
      <c r="B49" s="26" t="n">
        <v>99</v>
      </c>
      <c r="C49" s="26" t="n">
        <v>99</v>
      </c>
      <c r="D49" s="26" t="n">
        <v>99</v>
      </c>
      <c r="E49" s="13" t="s">
        <v>130</v>
      </c>
      <c r="F49" s="14" t="s">
        <v>131</v>
      </c>
      <c r="G49" s="27" t="n">
        <f aca="false">CHOOSE(scn, Assumptions!B49, Assumptions!C49, Assumptions!D49)</f>
        <v>99</v>
      </c>
    </row>
    <row r="50" customFormat="false" ht="15" hidden="false" customHeight="false" outlineLevel="0" collapsed="false">
      <c r="A50" s="4" t="s">
        <v>132</v>
      </c>
      <c r="B50" s="12" t="n">
        <v>800</v>
      </c>
      <c r="C50" s="12" t="n">
        <v>500</v>
      </c>
      <c r="D50" s="12" t="n">
        <v>300</v>
      </c>
      <c r="E50" s="13" t="s">
        <v>133</v>
      </c>
      <c r="F50" s="14" t="s">
        <v>134</v>
      </c>
      <c r="G50" s="15" t="n">
        <f aca="false">CHOOSE(scn, Assumptions!B50, Assumptions!C50, Assumptions!D50)</f>
        <v>500</v>
      </c>
    </row>
    <row r="51" customFormat="false" ht="18.65" hidden="false" customHeight="true" outlineLevel="0" collapsed="false">
      <c r="A51" s="11" t="s">
        <v>135</v>
      </c>
      <c r="B51" s="11"/>
      <c r="C51" s="11"/>
      <c r="D51" s="11"/>
      <c r="E51" s="11"/>
      <c r="F51" s="11"/>
    </row>
    <row r="52" customFormat="false" ht="15" hidden="false" customHeight="false" outlineLevel="0" collapsed="false">
      <c r="A52" s="4" t="s">
        <v>136</v>
      </c>
      <c r="B52" s="22" t="n">
        <v>0.033</v>
      </c>
      <c r="C52" s="22" t="n">
        <v>0.031</v>
      </c>
      <c r="D52" s="22" t="n">
        <v>0.028</v>
      </c>
      <c r="E52" s="13" t="s">
        <v>44</v>
      </c>
      <c r="F52" s="14" t="s">
        <v>137</v>
      </c>
      <c r="G52" s="23" t="n">
        <f aca="false">CHOOSE(scn, Assumptions!B52, Assumptions!C52, Assumptions!D52)</f>
        <v>0.031</v>
      </c>
    </row>
    <row r="53" customFormat="false" ht="15" hidden="false" customHeight="false" outlineLevel="0" collapsed="false">
      <c r="A53" s="4" t="s">
        <v>138</v>
      </c>
      <c r="B53" s="22" t="n">
        <v>0.029</v>
      </c>
      <c r="C53" s="22" t="n">
        <v>0.027</v>
      </c>
      <c r="D53" s="22" t="n">
        <v>0.024</v>
      </c>
      <c r="E53" s="13" t="s">
        <v>44</v>
      </c>
      <c r="F53" s="14" t="s">
        <v>139</v>
      </c>
      <c r="G53" s="23" t="n">
        <f aca="false">CHOOSE(scn, Assumptions!B53, Assumptions!C53, Assumptions!D53)</f>
        <v>0.027</v>
      </c>
    </row>
    <row r="54" customFormat="false" ht="15" hidden="false" customHeight="false" outlineLevel="0" collapsed="false">
      <c r="A54" s="4" t="s">
        <v>140</v>
      </c>
      <c r="B54" s="18" t="n">
        <v>2</v>
      </c>
      <c r="C54" s="18" t="n">
        <v>2</v>
      </c>
      <c r="D54" s="18" t="n">
        <v>2</v>
      </c>
      <c r="E54" s="13" t="s">
        <v>141</v>
      </c>
      <c r="F54" s="14" t="s">
        <v>142</v>
      </c>
      <c r="G54" s="19" t="n">
        <f aca="false">CHOOSE(scn, Assumptions!B54, Assumptions!C54, Assumptions!D54)</f>
        <v>2</v>
      </c>
    </row>
    <row r="55" customFormat="false" ht="15" hidden="false" customHeight="false" outlineLevel="0" collapsed="false">
      <c r="A55" s="4" t="s">
        <v>143</v>
      </c>
      <c r="B55" s="24" t="n">
        <v>800</v>
      </c>
      <c r="C55" s="24" t="n">
        <v>1125</v>
      </c>
      <c r="D55" s="24" t="n">
        <v>1500</v>
      </c>
      <c r="E55" s="13" t="s">
        <v>144</v>
      </c>
      <c r="F55" s="14" t="s">
        <v>145</v>
      </c>
      <c r="G55" s="25" t="n">
        <f aca="false">CHOOSE(scn, Assumptions!B55, Assumptions!C55, Assumptions!D55)</f>
        <v>1125</v>
      </c>
    </row>
    <row r="56" customFormat="false" ht="15" hidden="false" customHeight="false" outlineLevel="0" collapsed="false">
      <c r="A56" s="4" t="s">
        <v>146</v>
      </c>
      <c r="B56" s="16" t="n">
        <v>0.15</v>
      </c>
      <c r="C56" s="16" t="n">
        <v>0.15</v>
      </c>
      <c r="D56" s="16" t="n">
        <v>0.15</v>
      </c>
      <c r="E56" s="13" t="s">
        <v>44</v>
      </c>
      <c r="F56" s="14" t="s">
        <v>147</v>
      </c>
      <c r="G56" s="17" t="n">
        <f aca="false">CHOOSE(scn, Assumptions!B56, Assumptions!C56, Assumptions!D56)</f>
        <v>0.15</v>
      </c>
    </row>
    <row r="57" customFormat="false" ht="15" hidden="false" customHeight="false" outlineLevel="0" collapsed="false">
      <c r="A57" s="4" t="s">
        <v>148</v>
      </c>
      <c r="B57" s="12" t="n">
        <v>4</v>
      </c>
      <c r="C57" s="12" t="n">
        <v>2</v>
      </c>
      <c r="D57" s="12" t="n">
        <v>1</v>
      </c>
      <c r="E57" s="13" t="s">
        <v>149</v>
      </c>
      <c r="F57" s="14" t="s">
        <v>150</v>
      </c>
      <c r="G57" s="15" t="n">
        <f aca="false">CHOOSE(scn, Assumptions!B57, Assumptions!C57, Assumptions!D57)</f>
        <v>2</v>
      </c>
    </row>
    <row r="58" customFormat="false" ht="18.65" hidden="false" customHeight="true" outlineLevel="0" collapsed="false">
      <c r="A58" s="11" t="s">
        <v>151</v>
      </c>
      <c r="B58" s="11"/>
      <c r="C58" s="11"/>
      <c r="D58" s="11"/>
      <c r="E58" s="11"/>
      <c r="F58" s="11"/>
    </row>
    <row r="59" customFormat="false" ht="15" hidden="false" customHeight="false" outlineLevel="0" collapsed="false">
      <c r="A59" s="4" t="s">
        <v>152</v>
      </c>
      <c r="B59" s="24" t="n">
        <v>0</v>
      </c>
      <c r="C59" s="24" t="n">
        <v>25000</v>
      </c>
      <c r="D59" s="24" t="n">
        <v>40000</v>
      </c>
      <c r="E59" s="13" t="s">
        <v>153</v>
      </c>
      <c r="F59" s="14" t="s">
        <v>154</v>
      </c>
      <c r="G59" s="25" t="n">
        <f aca="false">CHOOSE(scn, Assumptions!B59, Assumptions!C59, Assumptions!D59)</f>
        <v>25000</v>
      </c>
    </row>
    <row r="60" customFormat="false" ht="15" hidden="false" customHeight="false" outlineLevel="0" collapsed="false">
      <c r="A60" s="4" t="s">
        <v>155</v>
      </c>
      <c r="B60" s="16" t="n">
        <v>0.1</v>
      </c>
      <c r="C60" s="16" t="n">
        <v>0.1</v>
      </c>
      <c r="D60" s="16" t="n">
        <v>0.15</v>
      </c>
      <c r="E60" s="13" t="s">
        <v>44</v>
      </c>
      <c r="F60" s="14" t="s">
        <v>156</v>
      </c>
      <c r="G60" s="17" t="n">
        <f aca="false">CHOOSE(scn, Assumptions!B60, Assumptions!C60, Assumptions!D60)</f>
        <v>0.1</v>
      </c>
    </row>
    <row r="61" customFormat="false" ht="15" hidden="false" customHeight="false" outlineLevel="0" collapsed="false">
      <c r="A61" s="4" t="s">
        <v>157</v>
      </c>
      <c r="B61" s="24" t="n">
        <v>3000</v>
      </c>
      <c r="C61" s="24" t="n">
        <v>5000</v>
      </c>
      <c r="D61" s="24" t="n">
        <v>10000</v>
      </c>
      <c r="E61" s="13" t="s">
        <v>153</v>
      </c>
      <c r="F61" s="14" t="s">
        <v>158</v>
      </c>
      <c r="G61" s="25" t="n">
        <f aca="false">CHOOSE(scn, Assumptions!B61, Assumptions!C61, Assumptions!D61)</f>
        <v>5000</v>
      </c>
    </row>
    <row r="62" customFormat="false" ht="15" hidden="false" customHeight="false" outlineLevel="0" collapsed="false">
      <c r="A62" s="4" t="s">
        <v>159</v>
      </c>
      <c r="B62" s="16" t="n">
        <v>0.3</v>
      </c>
      <c r="C62" s="16" t="n">
        <v>0.4</v>
      </c>
      <c r="D62" s="16" t="n">
        <v>0.6</v>
      </c>
      <c r="E62" s="13" t="s">
        <v>44</v>
      </c>
      <c r="F62" s="14" t="s">
        <v>160</v>
      </c>
      <c r="G62" s="17" t="n">
        <f aca="false">CHOOSE(scn, Assumptions!B62, Assumptions!C62, Assumptions!D62)</f>
        <v>0.4</v>
      </c>
    </row>
    <row r="63" customFormat="false" ht="15" hidden="false" customHeight="false" outlineLevel="0" collapsed="false">
      <c r="A63" s="4" t="s">
        <v>161</v>
      </c>
      <c r="B63" s="24" t="n">
        <v>2500</v>
      </c>
      <c r="C63" s="24" t="n">
        <v>1500</v>
      </c>
      <c r="D63" s="24" t="n">
        <v>800</v>
      </c>
      <c r="E63" s="13" t="s">
        <v>153</v>
      </c>
      <c r="F63" s="14" t="s">
        <v>162</v>
      </c>
      <c r="G63" s="25" t="n">
        <f aca="false">CHOOSE(scn, Assumptions!B63, Assumptions!C63, Assumptions!D63)</f>
        <v>1500</v>
      </c>
    </row>
    <row r="64" customFormat="false" ht="15" hidden="false" customHeight="false" outlineLevel="0" collapsed="false">
      <c r="A64" s="4" t="s">
        <v>163</v>
      </c>
      <c r="B64" s="12" t="n">
        <v>6</v>
      </c>
      <c r="C64" s="12" t="n">
        <v>3</v>
      </c>
      <c r="D64" s="12" t="n">
        <v>2</v>
      </c>
      <c r="E64" s="13" t="s">
        <v>164</v>
      </c>
      <c r="F64" s="14" t="s">
        <v>165</v>
      </c>
      <c r="G64" s="15" t="n">
        <f aca="false">CHOOSE(scn, Assumptions!B64, Assumptions!C64, Assumptions!D64)</f>
        <v>3</v>
      </c>
    </row>
    <row r="65" customFormat="false" ht="15" hidden="false" customHeight="false" outlineLevel="0" collapsed="false">
      <c r="A65" s="4" t="s">
        <v>166</v>
      </c>
      <c r="B65" s="24" t="n">
        <v>28000</v>
      </c>
      <c r="C65" s="24" t="n">
        <v>35000</v>
      </c>
      <c r="D65" s="24" t="n">
        <v>45000</v>
      </c>
      <c r="E65" s="13" t="s">
        <v>153</v>
      </c>
      <c r="F65" s="14" t="s">
        <v>167</v>
      </c>
      <c r="G65" s="25" t="n">
        <f aca="false">CHOOSE(scn, Assumptions!B65, Assumptions!C65, Assumptions!D65)</f>
        <v>35000</v>
      </c>
    </row>
    <row r="66" customFormat="false" ht="15" hidden="false" customHeight="false" outlineLevel="0" collapsed="false">
      <c r="A66" s="4" t="s">
        <v>168</v>
      </c>
      <c r="B66" s="12" t="n">
        <v>6</v>
      </c>
      <c r="C66" s="12" t="n">
        <v>4</v>
      </c>
      <c r="D66" s="12" t="n">
        <v>3</v>
      </c>
      <c r="E66" s="13" t="s">
        <v>164</v>
      </c>
      <c r="F66" s="14" t="s">
        <v>169</v>
      </c>
      <c r="G66" s="15" t="n">
        <f aca="false">CHOOSE(scn, Assumptions!B66, Assumptions!C66, Assumptions!D66)</f>
        <v>4</v>
      </c>
    </row>
    <row r="67" customFormat="false" ht="15" hidden="false" customHeight="false" outlineLevel="0" collapsed="false">
      <c r="A67" s="4" t="s">
        <v>170</v>
      </c>
      <c r="B67" s="24" t="n">
        <v>55000</v>
      </c>
      <c r="C67" s="24" t="n">
        <v>65000</v>
      </c>
      <c r="D67" s="24" t="n">
        <v>85000</v>
      </c>
      <c r="E67" s="13" t="s">
        <v>153</v>
      </c>
      <c r="F67" s="14" t="s">
        <v>171</v>
      </c>
      <c r="G67" s="25" t="n">
        <f aca="false">CHOOSE(scn, Assumptions!B67, Assumptions!C67, Assumptions!D67)</f>
        <v>65000</v>
      </c>
    </row>
    <row r="68" customFormat="false" ht="18.65" hidden="false" customHeight="true" outlineLevel="0" collapsed="false">
      <c r="A68" s="11" t="s">
        <v>172</v>
      </c>
      <c r="B68" s="11"/>
      <c r="C68" s="11"/>
      <c r="D68" s="11"/>
      <c r="E68" s="11"/>
      <c r="F68" s="11"/>
    </row>
    <row r="69" customFormat="false" ht="15" hidden="false" customHeight="false" outlineLevel="0" collapsed="false">
      <c r="A69" s="4" t="s">
        <v>173</v>
      </c>
      <c r="B69" s="12" t="n">
        <v>900</v>
      </c>
      <c r="C69" s="12" t="n">
        <v>2200</v>
      </c>
      <c r="D69" s="12" t="n">
        <v>4500</v>
      </c>
      <c r="E69" s="13" t="s">
        <v>174</v>
      </c>
      <c r="F69" s="14" t="s">
        <v>175</v>
      </c>
      <c r="G69" s="15" t="n">
        <f aca="false">CHOOSE(scn, Assumptions!B69, Assumptions!C69, Assumptions!D69)</f>
        <v>2200</v>
      </c>
    </row>
  </sheetData>
  <mergeCells count="14">
    <mergeCell ref="A1:F1"/>
    <mergeCell ref="A2:F2"/>
    <mergeCell ref="A3:F3"/>
    <mergeCell ref="A5:F5"/>
    <mergeCell ref="A7:F7"/>
    <mergeCell ref="A12:F12"/>
    <mergeCell ref="A19:F19"/>
    <mergeCell ref="A24:F24"/>
    <mergeCell ref="A30:F30"/>
    <mergeCell ref="A33:F33"/>
    <mergeCell ref="A42:F42"/>
    <mergeCell ref="A51:F51"/>
    <mergeCell ref="A58:F58"/>
    <mergeCell ref="A68:F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9" min="2" style="0" width="11"/>
  </cols>
  <sheetData>
    <row r="1" customFormat="false" ht="15" hidden="false" customHeight="false" outlineLevel="0" collapsed="false">
      <c r="A1" s="30" t="s">
        <v>176</v>
      </c>
    </row>
    <row r="2" customFormat="false" ht="15" hidden="false" customHeight="false" outlineLevel="0" collapsed="false">
      <c r="A2" s="31" t="s">
        <v>177</v>
      </c>
    </row>
    <row r="4" customFormat="false" ht="15" hidden="false" customHeight="false" outlineLevel="0" collapsed="false">
      <c r="A4" s="32" t="s">
        <v>178</v>
      </c>
      <c r="B4" s="10" t="s">
        <v>179</v>
      </c>
      <c r="C4" s="10" t="s">
        <v>180</v>
      </c>
      <c r="D4" s="10" t="s">
        <v>181</v>
      </c>
      <c r="E4" s="10" t="s">
        <v>182</v>
      </c>
      <c r="F4" s="10" t="s">
        <v>183</v>
      </c>
      <c r="G4" s="10" t="s">
        <v>184</v>
      </c>
      <c r="H4" s="10" t="s">
        <v>185</v>
      </c>
      <c r="I4" s="10" t="s">
        <v>186</v>
      </c>
      <c r="J4" s="10" t="s">
        <v>187</v>
      </c>
      <c r="K4" s="10" t="s">
        <v>188</v>
      </c>
      <c r="L4" s="10" t="s">
        <v>189</v>
      </c>
      <c r="M4" s="10" t="s">
        <v>190</v>
      </c>
      <c r="N4" s="10" t="s">
        <v>191</v>
      </c>
      <c r="O4" s="10" t="s">
        <v>192</v>
      </c>
      <c r="P4" s="10" t="s">
        <v>193</v>
      </c>
      <c r="Q4" s="10" t="s">
        <v>194</v>
      </c>
      <c r="R4" s="10" t="s">
        <v>195</v>
      </c>
      <c r="S4" s="10" t="s">
        <v>196</v>
      </c>
      <c r="T4" s="10" t="s">
        <v>197</v>
      </c>
      <c r="U4" s="10" t="s">
        <v>198</v>
      </c>
      <c r="V4" s="10" t="s">
        <v>199</v>
      </c>
      <c r="W4" s="10" t="s">
        <v>200</v>
      </c>
      <c r="X4" s="10" t="s">
        <v>201</v>
      </c>
      <c r="Y4" s="10" t="s">
        <v>202</v>
      </c>
      <c r="Z4" s="10" t="s">
        <v>203</v>
      </c>
      <c r="AA4" s="10" t="s">
        <v>204</v>
      </c>
      <c r="AB4" s="10" t="s">
        <v>205</v>
      </c>
      <c r="AC4" s="10" t="s">
        <v>206</v>
      </c>
    </row>
    <row r="5" customFormat="false" ht="15" hidden="false" customHeight="false" outlineLevel="0" collapsed="false">
      <c r="A5" s="4" t="s">
        <v>207</v>
      </c>
      <c r="B5" s="33" t="n">
        <f aca="false">(tam_bio+tam_physio+tam_pt)*(1.02)^(B21-1)</f>
        <v>22635</v>
      </c>
      <c r="C5" s="33" t="n">
        <f aca="false">(tam_bio+tam_physio+tam_pt)*(1.02)^(C21-1)</f>
        <v>22635</v>
      </c>
      <c r="D5" s="33" t="n">
        <f aca="false">(tam_bio+tam_physio+tam_pt)*(1.02)^(D21-1)</f>
        <v>22635</v>
      </c>
      <c r="E5" s="33" t="n">
        <f aca="false">(tam_bio+tam_physio+tam_pt)*(1.02)^(E21-1)</f>
        <v>22635</v>
      </c>
      <c r="F5" s="33" t="n">
        <f aca="false">(tam_bio+tam_physio+tam_pt)*(1.02)^(F21-1)</f>
        <v>22635</v>
      </c>
      <c r="G5" s="33" t="n">
        <f aca="false">(tam_bio+tam_physio+tam_pt)*(1.02)^(G21-1)</f>
        <v>22635</v>
      </c>
      <c r="H5" s="33" t="n">
        <f aca="false">(tam_bio+tam_physio+tam_pt)*(1.02)^(H21-1)</f>
        <v>22635</v>
      </c>
      <c r="I5" s="33" t="n">
        <f aca="false">(tam_bio+tam_physio+tam_pt)*(1.02)^(I21-1)</f>
        <v>22635</v>
      </c>
      <c r="J5" s="33" t="n">
        <f aca="false">(tam_bio+tam_physio+tam_pt)*(1.02)^(J21-1)</f>
        <v>22635</v>
      </c>
      <c r="K5" s="33" t="n">
        <f aca="false">(tam_bio+tam_physio+tam_pt)*(1.02)^(K21-1)</f>
        <v>22635</v>
      </c>
      <c r="L5" s="33" t="n">
        <f aca="false">(tam_bio+tam_physio+tam_pt)*(1.02)^(L21-1)</f>
        <v>22635</v>
      </c>
      <c r="M5" s="33" t="n">
        <f aca="false">(tam_bio+tam_physio+tam_pt)*(1.02)^(M21-1)</f>
        <v>22635</v>
      </c>
      <c r="N5" s="33" t="n">
        <f aca="false">(tam_bio+tam_physio+tam_pt)*(1.02)^(N21-1)</f>
        <v>23087.7</v>
      </c>
      <c r="O5" s="33" t="n">
        <f aca="false">(tam_bio+tam_physio+tam_pt)*(1.02)^(O21-1)</f>
        <v>23087.7</v>
      </c>
      <c r="P5" s="33" t="n">
        <f aca="false">(tam_bio+tam_physio+tam_pt)*(1.02)^(P21-1)</f>
        <v>23087.7</v>
      </c>
      <c r="Q5" s="33" t="n">
        <f aca="false">(tam_bio+tam_physio+tam_pt)*(1.02)^(Q21-1)</f>
        <v>23087.7</v>
      </c>
      <c r="R5" s="33" t="n">
        <f aca="false">(tam_bio+tam_physio+tam_pt)*(1.02)^(R21-1)</f>
        <v>23549.454</v>
      </c>
      <c r="S5" s="33" t="n">
        <f aca="false">(tam_bio+tam_physio+tam_pt)*(1.02)^(S21-1)</f>
        <v>23549.454</v>
      </c>
      <c r="T5" s="33" t="n">
        <f aca="false">(tam_bio+tam_physio+tam_pt)*(1.02)^(T21-1)</f>
        <v>23549.454</v>
      </c>
      <c r="U5" s="33" t="n">
        <f aca="false">(tam_bio+tam_physio+tam_pt)*(1.02)^(U21-1)</f>
        <v>23549.454</v>
      </c>
      <c r="V5" s="33" t="n">
        <f aca="false">(tam_bio+tam_physio+tam_pt)*(1.02)^(V21-1)</f>
        <v>24020.44308</v>
      </c>
      <c r="W5" s="33" t="n">
        <f aca="false">(tam_bio+tam_physio+tam_pt)*(1.02)^(W21-1)</f>
        <v>24020.44308</v>
      </c>
      <c r="X5" s="33" t="n">
        <f aca="false">(tam_bio+tam_physio+tam_pt)*(1.02)^(X21-1)</f>
        <v>24020.44308</v>
      </c>
      <c r="Y5" s="33" t="n">
        <f aca="false">(tam_bio+tam_physio+tam_pt)*(1.02)^(Y21-1)</f>
        <v>24020.44308</v>
      </c>
      <c r="Z5" s="33" t="n">
        <f aca="false">(tam_bio+tam_physio+tam_pt)*(1.02)^(Z21-1)</f>
        <v>24500.8519416</v>
      </c>
      <c r="AA5" s="33" t="n">
        <f aca="false">(tam_bio+tam_physio+tam_pt)*(1.02)^(AA21-1)</f>
        <v>24500.8519416</v>
      </c>
      <c r="AB5" s="33" t="n">
        <f aca="false">(tam_bio+tam_physio+tam_pt)*(1.02)^(AB21-1)</f>
        <v>24500.8519416</v>
      </c>
      <c r="AC5" s="33" t="n">
        <f aca="false">(tam_bio+tam_physio+tam_pt)*(1.02)^(AC21-1)</f>
        <v>24500.8519416</v>
      </c>
    </row>
    <row r="6" customFormat="false" ht="15" hidden="false" customHeight="false" outlineLevel="0" collapsed="false">
      <c r="A6" s="4" t="s">
        <v>208</v>
      </c>
      <c r="B6" s="33" t="n">
        <f aca="false">B5*reach_sa</f>
        <v>12449.25</v>
      </c>
      <c r="C6" s="33" t="n">
        <f aca="false">C5*reach_sa</f>
        <v>12449.25</v>
      </c>
      <c r="D6" s="33" t="n">
        <f aca="false">D5*reach_sa</f>
        <v>12449.25</v>
      </c>
      <c r="E6" s="33" t="n">
        <f aca="false">E5*reach_sa</f>
        <v>12449.25</v>
      </c>
      <c r="F6" s="33" t="n">
        <f aca="false">F5*reach_sa</f>
        <v>12449.25</v>
      </c>
      <c r="G6" s="33" t="n">
        <f aca="false">G5*reach_sa</f>
        <v>12449.25</v>
      </c>
      <c r="H6" s="33" t="n">
        <f aca="false">H5*reach_sa</f>
        <v>12449.25</v>
      </c>
      <c r="I6" s="33" t="n">
        <f aca="false">I5*reach_sa</f>
        <v>12449.25</v>
      </c>
      <c r="J6" s="33" t="n">
        <f aca="false">J5*reach_sa</f>
        <v>12449.25</v>
      </c>
      <c r="K6" s="33" t="n">
        <f aca="false">K5*reach_sa</f>
        <v>12449.25</v>
      </c>
      <c r="L6" s="33" t="n">
        <f aca="false">L5*reach_sa</f>
        <v>12449.25</v>
      </c>
      <c r="M6" s="33" t="n">
        <f aca="false">M5*reach_sa</f>
        <v>12449.25</v>
      </c>
      <c r="N6" s="33" t="n">
        <f aca="false">N5*reach_sa</f>
        <v>12698.235</v>
      </c>
      <c r="O6" s="33" t="n">
        <f aca="false">O5*reach_sa</f>
        <v>12698.235</v>
      </c>
      <c r="P6" s="33" t="n">
        <f aca="false">P5*reach_sa</f>
        <v>12698.235</v>
      </c>
      <c r="Q6" s="33" t="n">
        <f aca="false">Q5*reach_sa</f>
        <v>12698.235</v>
      </c>
      <c r="R6" s="33" t="n">
        <f aca="false">R5*reach_sa</f>
        <v>12952.1997</v>
      </c>
      <c r="S6" s="33" t="n">
        <f aca="false">S5*reach_sa</f>
        <v>12952.1997</v>
      </c>
      <c r="T6" s="33" t="n">
        <f aca="false">T5*reach_sa</f>
        <v>12952.1997</v>
      </c>
      <c r="U6" s="33" t="n">
        <f aca="false">U5*reach_sa</f>
        <v>12952.1997</v>
      </c>
      <c r="V6" s="33" t="n">
        <f aca="false">V5*reach_sa</f>
        <v>13211.243694</v>
      </c>
      <c r="W6" s="33" t="n">
        <f aca="false">W5*reach_sa</f>
        <v>13211.243694</v>
      </c>
      <c r="X6" s="33" t="n">
        <f aca="false">X5*reach_sa</f>
        <v>13211.243694</v>
      </c>
      <c r="Y6" s="33" t="n">
        <f aca="false">Y5*reach_sa</f>
        <v>13211.243694</v>
      </c>
      <c r="Z6" s="33" t="n">
        <f aca="false">Z5*reach_sa</f>
        <v>13475.46856788</v>
      </c>
      <c r="AA6" s="33" t="n">
        <f aca="false">AA5*reach_sa</f>
        <v>13475.46856788</v>
      </c>
      <c r="AB6" s="33" t="n">
        <f aca="false">AB5*reach_sa</f>
        <v>13475.46856788</v>
      </c>
      <c r="AC6" s="33" t="n">
        <f aca="false">AC5*reach_sa</f>
        <v>13475.46856788</v>
      </c>
    </row>
    <row r="7" customFormat="false" ht="15" hidden="false" customHeight="false" outlineLevel="0" collapsed="false">
      <c r="A7" s="4" t="s">
        <v>209</v>
      </c>
      <c r="B7" s="33" t="n">
        <f aca="false">(tam_au_physio+tam_au_pt+tam_uk+tam_nordics)*(1.015)^(B21-1)</f>
        <v>165645</v>
      </c>
      <c r="C7" s="33" t="n">
        <f aca="false">(tam_au_physio+tam_au_pt+tam_uk+tam_nordics)*(1.015)^(C21-1)</f>
        <v>165645</v>
      </c>
      <c r="D7" s="33" t="n">
        <f aca="false">(tam_au_physio+tam_au_pt+tam_uk+tam_nordics)*(1.015)^(D21-1)</f>
        <v>165645</v>
      </c>
      <c r="E7" s="33" t="n">
        <f aca="false">(tam_au_physio+tam_au_pt+tam_uk+tam_nordics)*(1.015)^(E21-1)</f>
        <v>165645</v>
      </c>
      <c r="F7" s="33" t="n">
        <f aca="false">(tam_au_physio+tam_au_pt+tam_uk+tam_nordics)*(1.015)^(F21-1)</f>
        <v>165645</v>
      </c>
      <c r="G7" s="33" t="n">
        <f aca="false">(tam_au_physio+tam_au_pt+tam_uk+tam_nordics)*(1.015)^(G21-1)</f>
        <v>165645</v>
      </c>
      <c r="H7" s="33" t="n">
        <f aca="false">(tam_au_physio+tam_au_pt+tam_uk+tam_nordics)*(1.015)^(H21-1)</f>
        <v>165645</v>
      </c>
      <c r="I7" s="33" t="n">
        <f aca="false">(tam_au_physio+tam_au_pt+tam_uk+tam_nordics)*(1.015)^(I21-1)</f>
        <v>165645</v>
      </c>
      <c r="J7" s="33" t="n">
        <f aca="false">(tam_au_physio+tam_au_pt+tam_uk+tam_nordics)*(1.015)^(J21-1)</f>
        <v>165645</v>
      </c>
      <c r="K7" s="33" t="n">
        <f aca="false">(tam_au_physio+tam_au_pt+tam_uk+tam_nordics)*(1.015)^(K21-1)</f>
        <v>165645</v>
      </c>
      <c r="L7" s="33" t="n">
        <f aca="false">(tam_au_physio+tam_au_pt+tam_uk+tam_nordics)*(1.015)^(L21-1)</f>
        <v>165645</v>
      </c>
      <c r="M7" s="33" t="n">
        <f aca="false">(tam_au_physio+tam_au_pt+tam_uk+tam_nordics)*(1.015)^(M21-1)</f>
        <v>165645</v>
      </c>
      <c r="N7" s="33" t="n">
        <f aca="false">(tam_au_physio+tam_au_pt+tam_uk+tam_nordics)*(1.015)^(N21-1)</f>
        <v>168129.675</v>
      </c>
      <c r="O7" s="33" t="n">
        <f aca="false">(tam_au_physio+tam_au_pt+tam_uk+tam_nordics)*(1.015)^(O21-1)</f>
        <v>168129.675</v>
      </c>
      <c r="P7" s="33" t="n">
        <f aca="false">(tam_au_physio+tam_au_pt+tam_uk+tam_nordics)*(1.015)^(P21-1)</f>
        <v>168129.675</v>
      </c>
      <c r="Q7" s="33" t="n">
        <f aca="false">(tam_au_physio+tam_au_pt+tam_uk+tam_nordics)*(1.015)^(Q21-1)</f>
        <v>168129.675</v>
      </c>
      <c r="R7" s="33" t="n">
        <f aca="false">(tam_au_physio+tam_au_pt+tam_uk+tam_nordics)*(1.015)^(R21-1)</f>
        <v>170651.620125</v>
      </c>
      <c r="S7" s="33" t="n">
        <f aca="false">(tam_au_physio+tam_au_pt+tam_uk+tam_nordics)*(1.015)^(S21-1)</f>
        <v>170651.620125</v>
      </c>
      <c r="T7" s="33" t="n">
        <f aca="false">(tam_au_physio+tam_au_pt+tam_uk+tam_nordics)*(1.015)^(T21-1)</f>
        <v>170651.620125</v>
      </c>
      <c r="U7" s="33" t="n">
        <f aca="false">(tam_au_physio+tam_au_pt+tam_uk+tam_nordics)*(1.015)^(U21-1)</f>
        <v>170651.620125</v>
      </c>
      <c r="V7" s="33" t="n">
        <f aca="false">(tam_au_physio+tam_au_pt+tam_uk+tam_nordics)*(1.015)^(V21-1)</f>
        <v>173211.394426875</v>
      </c>
      <c r="W7" s="33" t="n">
        <f aca="false">(tam_au_physio+tam_au_pt+tam_uk+tam_nordics)*(1.015)^(W21-1)</f>
        <v>173211.394426875</v>
      </c>
      <c r="X7" s="33" t="n">
        <f aca="false">(tam_au_physio+tam_au_pt+tam_uk+tam_nordics)*(1.015)^(X21-1)</f>
        <v>173211.394426875</v>
      </c>
      <c r="Y7" s="33" t="n">
        <f aca="false">(tam_au_physio+tam_au_pt+tam_uk+tam_nordics)*(1.015)^(Y21-1)</f>
        <v>173211.394426875</v>
      </c>
      <c r="Z7" s="33" t="n">
        <f aca="false">(tam_au_physio+tam_au_pt+tam_uk+tam_nordics)*(1.015)^(Z21-1)</f>
        <v>175809.565343278</v>
      </c>
      <c r="AA7" s="33" t="n">
        <f aca="false">(tam_au_physio+tam_au_pt+tam_uk+tam_nordics)*(1.015)^(AA21-1)</f>
        <v>175809.565343278</v>
      </c>
      <c r="AB7" s="33" t="n">
        <f aca="false">(tam_au_physio+tam_au_pt+tam_uk+tam_nordics)*(1.015)^(AB21-1)</f>
        <v>175809.565343278</v>
      </c>
      <c r="AC7" s="33" t="n">
        <f aca="false">(tam_au_physio+tam_au_pt+tam_uk+tam_nordics)*(1.015)^(AC21-1)</f>
        <v>175809.565343278</v>
      </c>
    </row>
    <row r="8" customFormat="false" ht="15" hidden="false" customHeight="false" outlineLevel="0" collapsed="false">
      <c r="A8" s="4" t="s">
        <v>210</v>
      </c>
      <c r="B8" s="33" t="n">
        <f aca="false">B7*reach_intl*B22</f>
        <v>0</v>
      </c>
      <c r="C8" s="33" t="n">
        <f aca="false">C7*reach_intl*C22</f>
        <v>0</v>
      </c>
      <c r="D8" s="33" t="n">
        <f aca="false">D7*reach_intl*D22</f>
        <v>0</v>
      </c>
      <c r="E8" s="33" t="n">
        <f aca="false">E7*reach_intl*E22</f>
        <v>0</v>
      </c>
      <c r="F8" s="33" t="n">
        <f aca="false">F7*reach_intl*F22</f>
        <v>0</v>
      </c>
      <c r="G8" s="33" t="n">
        <f aca="false">G7*reach_intl*G22</f>
        <v>0</v>
      </c>
      <c r="H8" s="33" t="n">
        <f aca="false">H7*reach_intl*H22</f>
        <v>0</v>
      </c>
      <c r="I8" s="33" t="n">
        <f aca="false">I7*reach_intl*I22</f>
        <v>0</v>
      </c>
      <c r="J8" s="33" t="n">
        <f aca="false">J7*reach_intl*J22</f>
        <v>0</v>
      </c>
      <c r="K8" s="33" t="n">
        <f aca="false">K7*reach_intl*K22</f>
        <v>0</v>
      </c>
      <c r="L8" s="33" t="n">
        <f aca="false">L7*reach_intl*L22</f>
        <v>0</v>
      </c>
      <c r="M8" s="33" t="n">
        <f aca="false">M7*reach_intl*M22</f>
        <v>0</v>
      </c>
      <c r="N8" s="33" t="n">
        <f aca="false">N7*reach_intl*N22</f>
        <v>0</v>
      </c>
      <c r="O8" s="33" t="n">
        <f aca="false">O7*reach_intl*O22</f>
        <v>0</v>
      </c>
      <c r="P8" s="33" t="n">
        <f aca="false">P7*reach_intl*P22</f>
        <v>0</v>
      </c>
      <c r="Q8" s="33" t="n">
        <f aca="false">Q7*reach_intl*Q22</f>
        <v>0</v>
      </c>
      <c r="R8" s="33" t="n">
        <f aca="false">R7*reach_intl*R22</f>
        <v>34130.324025</v>
      </c>
      <c r="S8" s="33" t="n">
        <f aca="false">S7*reach_intl*S22</f>
        <v>34130.324025</v>
      </c>
      <c r="T8" s="33" t="n">
        <f aca="false">T7*reach_intl*T22</f>
        <v>34130.324025</v>
      </c>
      <c r="U8" s="33" t="n">
        <f aca="false">U7*reach_intl*U22</f>
        <v>34130.324025</v>
      </c>
      <c r="V8" s="33" t="n">
        <f aca="false">V7*reach_intl*V22</f>
        <v>34642.278885375</v>
      </c>
      <c r="W8" s="33" t="n">
        <f aca="false">W7*reach_intl*W22</f>
        <v>34642.278885375</v>
      </c>
      <c r="X8" s="33" t="n">
        <f aca="false">X7*reach_intl*X22</f>
        <v>34642.278885375</v>
      </c>
      <c r="Y8" s="33" t="n">
        <f aca="false">Y7*reach_intl*Y22</f>
        <v>34642.278885375</v>
      </c>
      <c r="Z8" s="33" t="n">
        <f aca="false">Z7*reach_intl*Z22</f>
        <v>35161.9130686556</v>
      </c>
      <c r="AA8" s="33" t="n">
        <f aca="false">AA7*reach_intl*AA22</f>
        <v>35161.9130686556</v>
      </c>
      <c r="AB8" s="33" t="n">
        <f aca="false">AB7*reach_intl*AB22</f>
        <v>35161.9130686556</v>
      </c>
      <c r="AC8" s="33" t="n">
        <f aca="false">AC7*reach_intl*AC22</f>
        <v>35161.9130686556</v>
      </c>
    </row>
    <row r="9" customFormat="false" ht="15" hidden="false" customHeight="false" outlineLevel="0" collapsed="false">
      <c r="A9" s="4" t="s">
        <v>211</v>
      </c>
      <c r="B9" s="33" t="n">
        <f aca="false">B6+B8</f>
        <v>12449.25</v>
      </c>
      <c r="C9" s="33" t="n">
        <f aca="false">C6+C8</f>
        <v>12449.25</v>
      </c>
      <c r="D9" s="33" t="n">
        <f aca="false">D6+D8</f>
        <v>12449.25</v>
      </c>
      <c r="E9" s="33" t="n">
        <f aca="false">E6+E8</f>
        <v>12449.25</v>
      </c>
      <c r="F9" s="33" t="n">
        <f aca="false">F6+F8</f>
        <v>12449.25</v>
      </c>
      <c r="G9" s="33" t="n">
        <f aca="false">G6+G8</f>
        <v>12449.25</v>
      </c>
      <c r="H9" s="33" t="n">
        <f aca="false">H6+H8</f>
        <v>12449.25</v>
      </c>
      <c r="I9" s="33" t="n">
        <f aca="false">I6+I8</f>
        <v>12449.25</v>
      </c>
      <c r="J9" s="33" t="n">
        <f aca="false">J6+J8</f>
        <v>12449.25</v>
      </c>
      <c r="K9" s="33" t="n">
        <f aca="false">K6+K8</f>
        <v>12449.25</v>
      </c>
      <c r="L9" s="33" t="n">
        <f aca="false">L6+L8</f>
        <v>12449.25</v>
      </c>
      <c r="M9" s="33" t="n">
        <f aca="false">M6+M8</f>
        <v>12449.25</v>
      </c>
      <c r="N9" s="33" t="n">
        <f aca="false">N6+N8</f>
        <v>12698.235</v>
      </c>
      <c r="O9" s="33" t="n">
        <f aca="false">O6+O8</f>
        <v>12698.235</v>
      </c>
      <c r="P9" s="33" t="n">
        <f aca="false">P6+P8</f>
        <v>12698.235</v>
      </c>
      <c r="Q9" s="33" t="n">
        <f aca="false">Q6+Q8</f>
        <v>12698.235</v>
      </c>
      <c r="R9" s="33" t="n">
        <f aca="false">R6+R8</f>
        <v>47082.523725</v>
      </c>
      <c r="S9" s="33" t="n">
        <f aca="false">S6+S8</f>
        <v>47082.523725</v>
      </c>
      <c r="T9" s="33" t="n">
        <f aca="false">T6+T8</f>
        <v>47082.523725</v>
      </c>
      <c r="U9" s="33" t="n">
        <f aca="false">U6+U8</f>
        <v>47082.523725</v>
      </c>
      <c r="V9" s="33" t="n">
        <f aca="false">V6+V8</f>
        <v>47853.522579375</v>
      </c>
      <c r="W9" s="33" t="n">
        <f aca="false">W6+W8</f>
        <v>47853.522579375</v>
      </c>
      <c r="X9" s="33" t="n">
        <f aca="false">X6+X8</f>
        <v>47853.522579375</v>
      </c>
      <c r="Y9" s="33" t="n">
        <f aca="false">Y6+Y8</f>
        <v>47853.522579375</v>
      </c>
      <c r="Z9" s="33" t="n">
        <f aca="false">Z6+Z8</f>
        <v>48637.3816365356</v>
      </c>
      <c r="AA9" s="33" t="n">
        <f aca="false">AA6+AA8</f>
        <v>48637.3816365356</v>
      </c>
      <c r="AB9" s="33" t="n">
        <f aca="false">AB6+AB8</f>
        <v>48637.3816365356</v>
      </c>
      <c r="AC9" s="33" t="n">
        <f aca="false">AC6+AC8</f>
        <v>48637.3816365356</v>
      </c>
    </row>
    <row r="10" customFormat="false" ht="15" hidden="false" customHeight="false" outlineLevel="0" collapsed="false">
      <c r="A10" s="4" t="s">
        <v>212</v>
      </c>
      <c r="B10" s="33" t="n">
        <v>0</v>
      </c>
      <c r="C10" s="33" t="n">
        <f aca="false">B10+B11</f>
        <v>29.0820833333333</v>
      </c>
      <c r="D10" s="33" t="n">
        <f aca="false">C10+C11</f>
        <v>58.1307419618273</v>
      </c>
      <c r="E10" s="33" t="n">
        <f aca="false">D10+D11</f>
        <v>87.1454124838991</v>
      </c>
      <c r="F10" s="33" t="n">
        <f aca="false">E10+E11</f>
        <v>116.125556909873</v>
      </c>
      <c r="G10" s="33" t="n">
        <f aca="false">F10+F11</f>
        <v>145.070661653859</v>
      </c>
      <c r="H10" s="33" t="n">
        <f aca="false">G10+G11</f>
        <v>173.980236565418</v>
      </c>
      <c r="I10" s="33" t="n">
        <f aca="false">H10+H11</f>
        <v>202.853813999446</v>
      </c>
      <c r="J10" s="33" t="n">
        <f aca="false">I10+I11</f>
        <v>231.690947922778</v>
      </c>
      <c r="K10" s="33" t="n">
        <f aca="false">J10+J11</f>
        <v>260.491213056042</v>
      </c>
      <c r="L10" s="33" t="n">
        <f aca="false">K10+K11</f>
        <v>289.254204049389</v>
      </c>
      <c r="M10" s="33" t="n">
        <f aca="false">L10+L11</f>
        <v>317.979534690765</v>
      </c>
      <c r="N10" s="33" t="n">
        <f aca="false">M10+M11</f>
        <v>346.666837145421</v>
      </c>
      <c r="O10" s="33" t="n">
        <f aca="false">N10+N11</f>
        <v>483.858534385506</v>
      </c>
      <c r="P10" s="33" t="n">
        <f aca="false">O10+O11</f>
        <v>620.527190913684</v>
      </c>
      <c r="Q10" s="33" t="n">
        <f aca="false">P10+P11</f>
        <v>756.655831603646</v>
      </c>
      <c r="R10" s="33" t="n">
        <f aca="false">Q10+Q11</f>
        <v>892.229797918575</v>
      </c>
      <c r="S10" s="33" t="n">
        <f aca="false">R10+R11</f>
        <v>1199.15792631234</v>
      </c>
      <c r="T10" s="33" t="n">
        <f aca="false">S10+S11</f>
        <v>1504.91520251579</v>
      </c>
      <c r="U10" s="33" t="n">
        <f aca="false">T10+T11</f>
        <v>1809.46373187859</v>
      </c>
      <c r="V10" s="33" t="n">
        <f aca="false">U10+U11</f>
        <v>2112.77079308449</v>
      </c>
      <c r="W10" s="33" t="n">
        <f aca="false">V10+V11</f>
        <v>2418.66324012597</v>
      </c>
      <c r="X10" s="33" t="n">
        <f aca="false">W10+W11</f>
        <v>2723.24870262288</v>
      </c>
      <c r="Y10" s="33" t="n">
        <f aca="false">X10+X11</f>
        <v>3026.50604334854</v>
      </c>
      <c r="Z10" s="33" t="n">
        <f aca="false">Y10+Y11</f>
        <v>3328.41738755942</v>
      </c>
      <c r="AA10" s="33" t="n">
        <f aca="false">Z10+Z11</f>
        <v>3632.88704316692</v>
      </c>
      <c r="AB10" s="33" t="n">
        <f aca="false">AA10+AA11</f>
        <v>3935.96976880859</v>
      </c>
      <c r="AC10" s="33" t="n">
        <f aca="false">AB10+AB11</f>
        <v>4237.65473771926</v>
      </c>
    </row>
    <row r="11" customFormat="false" ht="15" hidden="false" customHeight="false" outlineLevel="0" collapsed="false">
      <c r="A11" s="4" t="s">
        <v>213</v>
      </c>
      <c r="B11" s="33" t="n">
        <f aca="false">warm_y1/12+MAX(0,(B9-B10))*signup_rate*B20</f>
        <v>29.0820833333333</v>
      </c>
      <c r="C11" s="33" t="n">
        <f aca="false">warm_y1/12+MAX(0,(C9-C10))*signup_rate*C20+B16*ref_invites*ref_conv*C20</f>
        <v>29.0486586284939</v>
      </c>
      <c r="D11" s="33" t="n">
        <f aca="false">warm_y1/12+MAX(0,(D9-D10))*signup_rate*D20+C16*ref_invites*ref_conv*D20</f>
        <v>29.0146705220718</v>
      </c>
      <c r="E11" s="33" t="n">
        <f aca="false">warm_y1/12+MAX(0,(E9-E10))*signup_rate*E20+D16*ref_invites*ref_conv*E20</f>
        <v>28.9801444259743</v>
      </c>
      <c r="F11" s="33" t="n">
        <f aca="false">warm_y1/12+MAX(0,(F9-F10))*signup_rate*F20+E16*ref_invites*ref_conv*F20</f>
        <v>28.9451047439859</v>
      </c>
      <c r="G11" s="33" t="n">
        <f aca="false">warm_y1/12+MAX(0,(G9-G10))*signup_rate*G20+F16*ref_invites*ref_conv*G20</f>
        <v>28.9095749115583</v>
      </c>
      <c r="H11" s="33" t="n">
        <f aca="false">warm_y1/12+MAX(0,(H9-H10))*signup_rate*H20+G16*ref_invites*ref_conv*H20</f>
        <v>28.8735774340287</v>
      </c>
      <c r="I11" s="33" t="n">
        <f aca="false">warm_y1/12+MAX(0,(I9-I10))*signup_rate*I20+H16*ref_invites*ref_conv*I20</f>
        <v>28.8371339233321</v>
      </c>
      <c r="J11" s="33" t="n">
        <f aca="false">warm_y1/12+MAX(0,(J9-J10))*signup_rate*J20+I16*ref_invites*ref_conv*J20</f>
        <v>28.8002651332632</v>
      </c>
      <c r="K11" s="33" t="n">
        <f aca="false">warm_y1/12+MAX(0,(K9-K10))*signup_rate*K20+J16*ref_invites*ref_conv*K20</f>
        <v>28.7629909933474</v>
      </c>
      <c r="L11" s="33" t="n">
        <f aca="false">warm_y1/12+MAX(0,(L9-L10))*signup_rate*L20+K16*ref_invites*ref_conv*L20</f>
        <v>28.7253306413759</v>
      </c>
      <c r="M11" s="33" t="n">
        <f aca="false">warm_y1/12+MAX(0,(M9-M10))*signup_rate*M20+L16*ref_invites*ref_conv*M20</f>
        <v>28.6873024546559</v>
      </c>
      <c r="N11" s="33" t="n">
        <f aca="false">warm_yr/4+MAX(0,(N9-N10))*signup_rate*N20+M16*ref_invites*ref_conv*N20</f>
        <v>137.191697240085</v>
      </c>
      <c r="O11" s="33" t="n">
        <f aca="false">warm_yr/4+MAX(0,(O9-O10))*signup_rate*O20+N16*ref_invites*ref_conv*O20</f>
        <v>136.668656528177</v>
      </c>
      <c r="P11" s="33" t="n">
        <f aca="false">warm_yr/4+MAX(0,(P9-P10))*signup_rate*P20+O16*ref_invites*ref_conv*P20</f>
        <v>136.128640689963</v>
      </c>
      <c r="Q11" s="33" t="n">
        <f aca="false">warm_yr/4+MAX(0,(Q9-Q10))*signup_rate*Q20+P16*ref_invites*ref_conv*Q20</f>
        <v>135.573966314929</v>
      </c>
      <c r="R11" s="33" t="n">
        <f aca="false">warm_yr/4+MAX(0,(R9-R10))*signup_rate*R20+Q16*ref_invites*ref_conv*R20</f>
        <v>306.928128393767</v>
      </c>
      <c r="S11" s="33" t="n">
        <f aca="false">warm_yr/4+MAX(0,(S9-S10))*signup_rate*S20+R16*ref_invites*ref_conv*S20</f>
        <v>305.757276203446</v>
      </c>
      <c r="T11" s="33" t="n">
        <f aca="false">warm_yr/4+MAX(0,(T9-T10))*signup_rate*T20+S16*ref_invites*ref_conv*T20</f>
        <v>304.548529362797</v>
      </c>
      <c r="U11" s="33" t="n">
        <f aca="false">warm_yr/4+MAX(0,(U9-U10))*signup_rate*U20+T16*ref_invites*ref_conv*U20</f>
        <v>303.3070612059</v>
      </c>
      <c r="V11" s="33" t="n">
        <f aca="false">warm_yr/4+MAX(0,(V9-V10))*signup_rate*V20+U16*ref_invites*ref_conv*V20</f>
        <v>305.892447041482</v>
      </c>
      <c r="W11" s="33" t="n">
        <f aca="false">warm_yr/4+MAX(0,(W9-W10))*signup_rate*W20+V16*ref_invites*ref_conv*W20</f>
        <v>304.585462496907</v>
      </c>
      <c r="X11" s="33" t="n">
        <f aca="false">warm_yr/4+MAX(0,(X9-X10))*signup_rate*X20+W16*ref_invites*ref_conv*X20</f>
        <v>303.257340725666</v>
      </c>
      <c r="Y11" s="33" t="n">
        <f aca="false">warm_yr/4+MAX(0,(Y9-Y10))*signup_rate*Y20+X16*ref_invites*ref_conv*Y20</f>
        <v>301.911344210883</v>
      </c>
      <c r="Z11" s="33" t="n">
        <f aca="false">warm_yr/4+MAX(0,(Z9-Z10))*signup_rate*Z20+Y16*ref_invites*ref_conv*Z20</f>
        <v>304.469655607496</v>
      </c>
      <c r="AA11" s="33" t="n">
        <f aca="false">warm_yr/4+MAX(0,(AA9-AA10))*signup_rate*AA20+Z16*ref_invites*ref_conv*AA20</f>
        <v>303.082725641665</v>
      </c>
      <c r="AB11" s="33" t="n">
        <f aca="false">warm_yr/4+MAX(0,(AB9-AB10))*signup_rate*AB20+AA16*ref_invites*ref_conv*AB20</f>
        <v>301.684968910677</v>
      </c>
      <c r="AC11" s="33" t="n">
        <f aca="false">warm_yr/4+MAX(0,(AC9-AC10))*signup_rate*AC20+AB16*ref_invites*ref_conv*AC20</f>
        <v>300.278469996617</v>
      </c>
    </row>
    <row r="12" customFormat="false" ht="15" hidden="false" customHeight="false" outlineLevel="0" collapsed="false">
      <c r="A12" s="4" t="s">
        <v>214</v>
      </c>
      <c r="B12" s="33" t="n">
        <f aca="false">B11*activation</f>
        <v>10.90578125</v>
      </c>
      <c r="C12" s="33" t="n">
        <f aca="false">C11*activation</f>
        <v>10.8932469856852</v>
      </c>
      <c r="D12" s="33" t="n">
        <f aca="false">D11*activation</f>
        <v>10.8805014457769</v>
      </c>
      <c r="E12" s="33" t="n">
        <f aca="false">E11*activation</f>
        <v>10.8675541597403</v>
      </c>
      <c r="F12" s="33" t="n">
        <f aca="false">F11*activation</f>
        <v>10.8544142789947</v>
      </c>
      <c r="G12" s="33" t="n">
        <f aca="false">G11*activation</f>
        <v>10.8410905918343</v>
      </c>
      <c r="H12" s="33" t="n">
        <f aca="false">H11*activation</f>
        <v>10.8275915377608</v>
      </c>
      <c r="I12" s="33" t="n">
        <f aca="false">I11*activation</f>
        <v>10.8139252212496</v>
      </c>
      <c r="J12" s="33" t="n">
        <f aca="false">J11*activation</f>
        <v>10.8000994249737</v>
      </c>
      <c r="K12" s="33" t="n">
        <f aca="false">K11*activation</f>
        <v>10.7861216225053</v>
      </c>
      <c r="L12" s="33" t="n">
        <f aca="false">L11*activation</f>
        <v>10.771998990516</v>
      </c>
      <c r="M12" s="33" t="n">
        <f aca="false">M11*activation</f>
        <v>10.757738420496</v>
      </c>
      <c r="N12" s="33" t="n">
        <f aca="false">N11*activation</f>
        <v>51.446886465032</v>
      </c>
      <c r="O12" s="33" t="n">
        <f aca="false">O11*activation</f>
        <v>51.2507461980665</v>
      </c>
      <c r="P12" s="33" t="n">
        <f aca="false">P11*activation</f>
        <v>51.048240258736</v>
      </c>
      <c r="Q12" s="33" t="n">
        <f aca="false">Q11*activation</f>
        <v>50.8402373680982</v>
      </c>
      <c r="R12" s="33" t="n">
        <f aca="false">R11*activation</f>
        <v>115.098048147663</v>
      </c>
      <c r="S12" s="33" t="n">
        <f aca="false">S11*activation</f>
        <v>114.658978576292</v>
      </c>
      <c r="T12" s="33" t="n">
        <f aca="false">T11*activation</f>
        <v>114.205698511049</v>
      </c>
      <c r="U12" s="33" t="n">
        <f aca="false">U11*activation</f>
        <v>113.740147952213</v>
      </c>
      <c r="V12" s="33" t="n">
        <f aca="false">V11*activation</f>
        <v>114.709667640556</v>
      </c>
      <c r="W12" s="33" t="n">
        <f aca="false">W11*activation</f>
        <v>114.21954843634</v>
      </c>
      <c r="X12" s="33" t="n">
        <f aca="false">X11*activation</f>
        <v>113.721502772125</v>
      </c>
      <c r="Y12" s="33" t="n">
        <f aca="false">Y11*activation</f>
        <v>113.216754079081</v>
      </c>
      <c r="Z12" s="33" t="n">
        <f aca="false">Z11*activation</f>
        <v>114.176120852811</v>
      </c>
      <c r="AA12" s="33" t="n">
        <f aca="false">AA11*activation</f>
        <v>113.656022115625</v>
      </c>
      <c r="AB12" s="33" t="n">
        <f aca="false">AB11*activation</f>
        <v>113.131863341504</v>
      </c>
      <c r="AC12" s="33" t="n">
        <f aca="false">AC11*activation</f>
        <v>112.604426248731</v>
      </c>
    </row>
    <row r="13" customFormat="false" ht="15" hidden="false" customHeight="false" outlineLevel="0" collapsed="false">
      <c r="A13" s="4" t="s">
        <v>215</v>
      </c>
      <c r="B13" s="33" t="n">
        <f aca="false">B12*paid_conv</f>
        <v>2.34474296875</v>
      </c>
      <c r="C13" s="33" t="n">
        <f aca="false">C12*paid_conv</f>
        <v>2.34204810192232</v>
      </c>
      <c r="D13" s="33" t="n">
        <f aca="false">D12*paid_conv</f>
        <v>2.33930781084204</v>
      </c>
      <c r="E13" s="33" t="n">
        <f aca="false">E12*paid_conv</f>
        <v>2.33652414434417</v>
      </c>
      <c r="F13" s="33" t="n">
        <f aca="false">F12*paid_conv</f>
        <v>2.33369906998387</v>
      </c>
      <c r="G13" s="33" t="n">
        <f aca="false">G12*paid_conv</f>
        <v>2.33083447724438</v>
      </c>
      <c r="H13" s="33" t="n">
        <f aca="false">H12*paid_conv</f>
        <v>2.32793218061857</v>
      </c>
      <c r="I13" s="33" t="n">
        <f aca="false">I12*paid_conv</f>
        <v>2.32499392256865</v>
      </c>
      <c r="J13" s="33" t="n">
        <f aca="false">J12*paid_conv</f>
        <v>2.32202137636934</v>
      </c>
      <c r="K13" s="33" t="n">
        <f aca="false">K12*paid_conv</f>
        <v>2.31901614883863</v>
      </c>
      <c r="L13" s="33" t="n">
        <f aca="false">L12*paid_conv</f>
        <v>2.31597978296093</v>
      </c>
      <c r="M13" s="33" t="n">
        <f aca="false">M12*paid_conv</f>
        <v>2.31291376040663</v>
      </c>
      <c r="N13" s="33" t="n">
        <f aca="false">N12*paid_conv</f>
        <v>11.0610805899819</v>
      </c>
      <c r="O13" s="33" t="n">
        <f aca="false">O12*paid_conv</f>
        <v>11.0189104325843</v>
      </c>
      <c r="P13" s="33" t="n">
        <f aca="false">P12*paid_conv</f>
        <v>10.9753716556283</v>
      </c>
      <c r="Q13" s="33" t="n">
        <f aca="false">Q12*paid_conv</f>
        <v>10.9306510341411</v>
      </c>
      <c r="R13" s="33" t="n">
        <f aca="false">R12*paid_conv</f>
        <v>24.7460803517475</v>
      </c>
      <c r="S13" s="33" t="n">
        <f aca="false">S12*paid_conv</f>
        <v>24.6516803939028</v>
      </c>
      <c r="T13" s="33" t="n">
        <f aca="false">T12*paid_conv</f>
        <v>24.5542251798755</v>
      </c>
      <c r="U13" s="33" t="n">
        <f aca="false">U12*paid_conv</f>
        <v>24.4541318097257</v>
      </c>
      <c r="V13" s="33" t="n">
        <f aca="false">V12*paid_conv</f>
        <v>24.6625785427195</v>
      </c>
      <c r="W13" s="33" t="n">
        <f aca="false">W12*paid_conv</f>
        <v>24.5572029138132</v>
      </c>
      <c r="X13" s="33" t="n">
        <f aca="false">X12*paid_conv</f>
        <v>24.4501230960068</v>
      </c>
      <c r="Y13" s="33" t="n">
        <f aca="false">Y12*paid_conv</f>
        <v>24.3416021270024</v>
      </c>
      <c r="Z13" s="33" t="n">
        <f aca="false">Z12*paid_conv</f>
        <v>24.5478659833543</v>
      </c>
      <c r="AA13" s="33" t="n">
        <f aca="false">AA12*paid_conv</f>
        <v>24.4360447548593</v>
      </c>
      <c r="AB13" s="33" t="n">
        <f aca="false">AB12*paid_conv</f>
        <v>24.3233506184234</v>
      </c>
      <c r="AC13" s="33" t="n">
        <f aca="false">AC12*paid_conv</f>
        <v>24.2099516434772</v>
      </c>
    </row>
    <row r="14" customFormat="false" ht="15" hidden="false" customHeight="false" outlineLevel="0" collapsed="false">
      <c r="A14" s="4" t="s">
        <v>216</v>
      </c>
      <c r="B14" s="33" t="n">
        <v>0</v>
      </c>
      <c r="C14" s="33" t="n">
        <f aca="false">B16*churn</f>
        <v>0.09378971875</v>
      </c>
      <c r="D14" s="33" t="n">
        <f aca="false">C16*churn</f>
        <v>0.183720054076893</v>
      </c>
      <c r="E14" s="33" t="n">
        <f aca="false">D16*churn</f>
        <v>0.269943564347499</v>
      </c>
      <c r="F14" s="33" t="n">
        <f aca="false">E16*churn</f>
        <v>0.352606787547366</v>
      </c>
      <c r="G14" s="33" t="n">
        <f aca="false">F16*churn</f>
        <v>0.431850478844826</v>
      </c>
      <c r="H14" s="33" t="n">
        <f aca="false">G16*churn</f>
        <v>0.507809838780808</v>
      </c>
      <c r="I14" s="33" t="n">
        <f aca="false">H16*churn</f>
        <v>0.580614732454319</v>
      </c>
      <c r="J14" s="33" t="n">
        <f aca="false">I16*churn</f>
        <v>0.650389900058892</v>
      </c>
      <c r="K14" s="33" t="n">
        <f aca="false">J16*churn</f>
        <v>0.71725515911131</v>
      </c>
      <c r="L14" s="33" t="n">
        <f aca="false">K16*churn</f>
        <v>0.781325598700403</v>
      </c>
      <c r="M14" s="33" t="n">
        <f aca="false">L16*churn</f>
        <v>0.842711766070824</v>
      </c>
      <c r="N14" s="33" t="n">
        <f aca="false">M16*(1-(1-churn)^3)</f>
        <v>2.59781958778481</v>
      </c>
      <c r="O14" s="33" t="n">
        <f aca="false">N16*(1-(1-churn)^3)</f>
        <v>3.57332890394206</v>
      </c>
      <c r="P14" s="33" t="n">
        <f aca="false">O16*(1-(1-churn)^3)</f>
        <v>4.43153641325948</v>
      </c>
      <c r="Q14" s="33" t="n">
        <f aca="false">P16*(1-(1-churn)^3)</f>
        <v>5.18580503863587</v>
      </c>
      <c r="R14" s="33" t="n">
        <f aca="false">Q16*(1-(1-churn)^3)</f>
        <v>5.84797896746179</v>
      </c>
      <c r="S14" s="33" t="n">
        <f aca="false">R16*(1-(1-churn)^3)</f>
        <v>8.0262497254201</v>
      </c>
      <c r="T14" s="33" t="n">
        <f aca="false">S16*(1-(1-churn)^3)</f>
        <v>9.9425633659921</v>
      </c>
      <c r="U14" s="33" t="n">
        <f aca="false">T16*(1-(1-churn)^3)</f>
        <v>11.6267619533076</v>
      </c>
      <c r="V14" s="33" t="n">
        <f aca="false">U16*(1-(1-churn)^3)</f>
        <v>13.1052959124377</v>
      </c>
      <c r="W14" s="33" t="n">
        <f aca="false">V16*(1-(1-churn)^3)</f>
        <v>14.4374345375345</v>
      </c>
      <c r="X14" s="33" t="n">
        <f aca="false">W16*(1-(1-churn)^3)</f>
        <v>15.6038795196579</v>
      </c>
      <c r="Y14" s="33" t="n">
        <f aca="false">X16*(1-(1-churn)^3)</f>
        <v>16.6235329392422</v>
      </c>
      <c r="Z14" s="33" t="n">
        <f aca="false">Y16*(1-(1-churn)^3)</f>
        <v>17.5131484661002</v>
      </c>
      <c r="AA14" s="33" t="n">
        <f aca="false">Z16*(1-(1-churn)^3)</f>
        <v>18.323998146009</v>
      </c>
      <c r="AB14" s="33" t="n">
        <f aca="false">AA16*(1-(1-churn)^3)</f>
        <v>19.0284970863315</v>
      </c>
      <c r="AC14" s="33" t="n">
        <f aca="false">AB16*(1-(1-churn)^3)</f>
        <v>19.6388030838545</v>
      </c>
    </row>
    <row r="15" customFormat="false" ht="15" hidden="false" customHeight="false" outlineLevel="0" collapsed="false">
      <c r="A15" s="4" t="s">
        <v>217</v>
      </c>
      <c r="B15" s="33" t="n">
        <f aca="false">B13-B14</f>
        <v>2.34474296875</v>
      </c>
      <c r="C15" s="33" t="n">
        <f aca="false">C13-C14</f>
        <v>2.24825838317232</v>
      </c>
      <c r="D15" s="33" t="n">
        <f aca="false">D13-D14</f>
        <v>2.15558775676515</v>
      </c>
      <c r="E15" s="33" t="n">
        <f aca="false">E13-E14</f>
        <v>2.06658057999667</v>
      </c>
      <c r="F15" s="33" t="n">
        <f aca="false">F13-F14</f>
        <v>1.9810922824365</v>
      </c>
      <c r="G15" s="33" t="n">
        <f aca="false">G13-G14</f>
        <v>1.89898399839956</v>
      </c>
      <c r="H15" s="33" t="n">
        <f aca="false">H13-H14</f>
        <v>1.82012234183776</v>
      </c>
      <c r="I15" s="33" t="n">
        <f aca="false">I13-I14</f>
        <v>1.74437919011434</v>
      </c>
      <c r="J15" s="33" t="n">
        <f aca="false">J13-J14</f>
        <v>1.67163147631045</v>
      </c>
      <c r="K15" s="33" t="n">
        <f aca="false">K13-K14</f>
        <v>1.60176098972732</v>
      </c>
      <c r="L15" s="33" t="n">
        <f aca="false">L13-L14</f>
        <v>1.53465418426053</v>
      </c>
      <c r="M15" s="33" t="n">
        <f aca="false">M13-M14</f>
        <v>1.47020199433581</v>
      </c>
      <c r="N15" s="33" t="n">
        <f aca="false">N13-N14</f>
        <v>8.46326100219708</v>
      </c>
      <c r="O15" s="33" t="n">
        <f aca="false">O13-O14</f>
        <v>7.44558152864224</v>
      </c>
      <c r="P15" s="33" t="n">
        <f aca="false">P13-P14</f>
        <v>6.54383524236877</v>
      </c>
      <c r="Q15" s="33" t="n">
        <f aca="false">Q13-Q14</f>
        <v>5.74484599550524</v>
      </c>
      <c r="R15" s="33" t="n">
        <f aca="false">R13-R14</f>
        <v>18.8981013842857</v>
      </c>
      <c r="S15" s="33" t="n">
        <f aca="false">S13-S14</f>
        <v>16.6254306684827</v>
      </c>
      <c r="T15" s="33" t="n">
        <f aca="false">T13-T14</f>
        <v>14.6116618138834</v>
      </c>
      <c r="U15" s="33" t="n">
        <f aca="false">U13-U14</f>
        <v>12.8273698564182</v>
      </c>
      <c r="V15" s="33" t="n">
        <f aca="false">V13-V14</f>
        <v>11.5572826302817</v>
      </c>
      <c r="W15" s="33" t="n">
        <f aca="false">W13-W14</f>
        <v>10.1197683762786</v>
      </c>
      <c r="X15" s="33" t="n">
        <f aca="false">X13-X14</f>
        <v>8.84624357634892</v>
      </c>
      <c r="Y15" s="33" t="n">
        <f aca="false">Y13-Y14</f>
        <v>7.71806918776021</v>
      </c>
      <c r="Z15" s="33" t="n">
        <f aca="false">Z13-Z14</f>
        <v>7.03471751725414</v>
      </c>
      <c r="AA15" s="33" t="n">
        <f aca="false">AA13-AA14</f>
        <v>6.11204660885029</v>
      </c>
      <c r="AB15" s="33" t="n">
        <f aca="false">AB13-AB14</f>
        <v>5.29485353209187</v>
      </c>
      <c r="AC15" s="33" t="n">
        <f aca="false">AC13-AC14</f>
        <v>4.57114855962269</v>
      </c>
    </row>
    <row r="16" customFormat="false" ht="15" hidden="false" customHeight="false" outlineLevel="0" collapsed="false">
      <c r="A16" s="4" t="s">
        <v>218</v>
      </c>
      <c r="B16" s="33" t="n">
        <f aca="false">B15</f>
        <v>2.34474296875</v>
      </c>
      <c r="C16" s="33" t="n">
        <f aca="false">B16+C15</f>
        <v>4.59300135192232</v>
      </c>
      <c r="D16" s="33" t="n">
        <f aca="false">C16+D15</f>
        <v>6.74858910868747</v>
      </c>
      <c r="E16" s="33" t="n">
        <f aca="false">D16+E15</f>
        <v>8.81516968868414</v>
      </c>
      <c r="F16" s="33" t="n">
        <f aca="false">E16+F15</f>
        <v>10.7962619711206</v>
      </c>
      <c r="G16" s="33" t="n">
        <f aca="false">F16+G15</f>
        <v>12.6952459695202</v>
      </c>
      <c r="H16" s="33" t="n">
        <f aca="false">G16+H15</f>
        <v>14.515368311358</v>
      </c>
      <c r="I16" s="33" t="n">
        <f aca="false">H16+I15</f>
        <v>16.2597475014723</v>
      </c>
      <c r="J16" s="33" t="n">
        <f aca="false">I16+J15</f>
        <v>17.9313789777828</v>
      </c>
      <c r="K16" s="33" t="n">
        <f aca="false">J16+K15</f>
        <v>19.5331399675101</v>
      </c>
      <c r="L16" s="33" t="n">
        <f aca="false">K16+L15</f>
        <v>21.0677941517706</v>
      </c>
      <c r="M16" s="33" t="n">
        <f aca="false">L16+M15</f>
        <v>22.5379961461064</v>
      </c>
      <c r="N16" s="33" t="n">
        <f aca="false">M16+N15</f>
        <v>31.0012571483035</v>
      </c>
      <c r="O16" s="33" t="n">
        <f aca="false">N16+O15</f>
        <v>38.4468386769457</v>
      </c>
      <c r="P16" s="33" t="n">
        <f aca="false">O16+P15</f>
        <v>44.9906739193145</v>
      </c>
      <c r="Q16" s="33" t="n">
        <f aca="false">P16+Q15</f>
        <v>50.7355199148197</v>
      </c>
      <c r="R16" s="33" t="n">
        <f aca="false">Q16+R15</f>
        <v>69.6336212991054</v>
      </c>
      <c r="S16" s="33" t="n">
        <f aca="false">R16+S15</f>
        <v>86.2590519675882</v>
      </c>
      <c r="T16" s="33" t="n">
        <f aca="false">S16+T15</f>
        <v>100.870713781472</v>
      </c>
      <c r="U16" s="33" t="n">
        <f aca="false">T16+U15</f>
        <v>113.69808363789</v>
      </c>
      <c r="V16" s="33" t="n">
        <f aca="false">U16+V15</f>
        <v>125.255366268172</v>
      </c>
      <c r="W16" s="33" t="n">
        <f aca="false">V16+W15</f>
        <v>135.37513464445</v>
      </c>
      <c r="X16" s="33" t="n">
        <f aca="false">W16+X15</f>
        <v>144.221378220799</v>
      </c>
      <c r="Y16" s="33" t="n">
        <f aca="false">X16+Y15</f>
        <v>151.939447408559</v>
      </c>
      <c r="Z16" s="33" t="n">
        <f aca="false">Y16+Z15</f>
        <v>158.974164925813</v>
      </c>
      <c r="AA16" s="33" t="n">
        <f aca="false">Z16+AA15</f>
        <v>165.086211534664</v>
      </c>
      <c r="AB16" s="33" t="n">
        <f aca="false">AA16+AB15</f>
        <v>170.381065066756</v>
      </c>
      <c r="AC16" s="33" t="n">
        <f aca="false">AB16+AC15</f>
        <v>174.952213626378</v>
      </c>
    </row>
    <row r="17" customFormat="false" ht="15" hidden="false" customHeight="false" outlineLevel="0" collapsed="false">
      <c r="A17" s="4" t="s">
        <v>219</v>
      </c>
      <c r="B17" s="33" t="n">
        <f aca="false">B16</f>
        <v>2.34474296875</v>
      </c>
      <c r="C17" s="33" t="n">
        <f aca="false">C16</f>
        <v>4.59300135192232</v>
      </c>
      <c r="D17" s="33" t="n">
        <f aca="false">D16</f>
        <v>6.74858910868747</v>
      </c>
      <c r="E17" s="33" t="n">
        <f aca="false">E16</f>
        <v>8.81516968868414</v>
      </c>
      <c r="F17" s="33" t="n">
        <f aca="false">F16</f>
        <v>10.7962619711206</v>
      </c>
      <c r="G17" s="33" t="n">
        <f aca="false">G16</f>
        <v>12.6952459695202</v>
      </c>
      <c r="H17" s="33" t="n">
        <f aca="false">H16</f>
        <v>14.515368311358</v>
      </c>
      <c r="I17" s="33" t="n">
        <f aca="false">I16</f>
        <v>16.2597475014723</v>
      </c>
      <c r="J17" s="33" t="n">
        <f aca="false">J16</f>
        <v>17.9313789777828</v>
      </c>
      <c r="K17" s="33" t="n">
        <f aca="false">K16</f>
        <v>19.5331399675101</v>
      </c>
      <c r="L17" s="33" t="n">
        <f aca="false">L16</f>
        <v>21.0677941517706</v>
      </c>
      <c r="M17" s="33" t="n">
        <f aca="false">M16</f>
        <v>22.5379961461064</v>
      </c>
      <c r="N17" s="33" t="n">
        <f aca="false">N16</f>
        <v>31.0012571483035</v>
      </c>
      <c r="O17" s="33" t="n">
        <f aca="false">O16</f>
        <v>38.4468386769457</v>
      </c>
      <c r="P17" s="33" t="n">
        <f aca="false">P16</f>
        <v>44.9906739193145</v>
      </c>
      <c r="Q17" s="33" t="n">
        <f aca="false">Q16</f>
        <v>50.7355199148197</v>
      </c>
      <c r="R17" s="33" t="n">
        <f aca="false">R16</f>
        <v>69.6336212991054</v>
      </c>
      <c r="S17" s="33" t="n">
        <f aca="false">S16</f>
        <v>86.2590519675882</v>
      </c>
      <c r="T17" s="33" t="n">
        <f aca="false">T16</f>
        <v>100.870713781472</v>
      </c>
      <c r="U17" s="33" t="n">
        <f aca="false">U16</f>
        <v>113.69808363789</v>
      </c>
      <c r="V17" s="33" t="n">
        <f aca="false">V16</f>
        <v>125.255366268172</v>
      </c>
      <c r="W17" s="33" t="n">
        <f aca="false">W16</f>
        <v>135.37513464445</v>
      </c>
      <c r="X17" s="33" t="n">
        <f aca="false">X16</f>
        <v>144.221378220799</v>
      </c>
      <c r="Y17" s="33" t="n">
        <f aca="false">Y16</f>
        <v>151.939447408559</v>
      </c>
      <c r="Z17" s="33" t="n">
        <f aca="false">Z16</f>
        <v>158.974164925813</v>
      </c>
      <c r="AA17" s="33" t="n">
        <f aca="false">AA16</f>
        <v>165.086211534664</v>
      </c>
      <c r="AB17" s="33" t="n">
        <f aca="false">AB16</f>
        <v>170.381065066756</v>
      </c>
      <c r="AC17" s="33" t="n">
        <f aca="false">AC16</f>
        <v>174.952213626378</v>
      </c>
    </row>
    <row r="18" customFormat="false" ht="15" hidden="false" customHeight="false" outlineLevel="0" collapsed="false">
      <c r="A18" s="4" t="s">
        <v>220</v>
      </c>
      <c r="B18" s="33" t="n">
        <f aca="false">B17*ref_invites*B20</f>
        <v>0.0683883365885417</v>
      </c>
      <c r="C18" s="33" t="n">
        <f aca="false">C17*ref_invites*C20</f>
        <v>0.133962539431068</v>
      </c>
      <c r="D18" s="33" t="n">
        <f aca="false">D17*ref_invites*D20</f>
        <v>0.196833849003384</v>
      </c>
      <c r="E18" s="33" t="n">
        <f aca="false">E17*ref_invites*E20</f>
        <v>0.257109115919954</v>
      </c>
      <c r="F18" s="33" t="n">
        <f aca="false">F17*ref_invites*F20</f>
        <v>0.314890974157685</v>
      </c>
      <c r="G18" s="33" t="n">
        <f aca="false">G17*ref_invites*G20</f>
        <v>0.370278007444339</v>
      </c>
      <c r="H18" s="33" t="n">
        <f aca="false">H17*ref_invites*H20</f>
        <v>0.423364909081274</v>
      </c>
      <c r="I18" s="33" t="n">
        <f aca="false">I17*ref_invites*I20</f>
        <v>0.474242635459609</v>
      </c>
      <c r="J18" s="33" t="n">
        <f aca="false">J17*ref_invites*J20</f>
        <v>0.522998553518663</v>
      </c>
      <c r="K18" s="33" t="n">
        <f aca="false">K17*ref_invites*K20</f>
        <v>0.56971658238571</v>
      </c>
      <c r="L18" s="33" t="n">
        <f aca="false">L17*ref_invites*L20</f>
        <v>0.614477329426642</v>
      </c>
      <c r="M18" s="33" t="n">
        <f aca="false">M17*ref_invites*M20</f>
        <v>0.657358220928104</v>
      </c>
      <c r="N18" s="33" t="n">
        <f aca="false">N17*ref_invites*N20</f>
        <v>2.71261000047655</v>
      </c>
      <c r="O18" s="33" t="n">
        <f aca="false">O17*ref_invites*O20</f>
        <v>3.36409838423275</v>
      </c>
      <c r="P18" s="33" t="n">
        <f aca="false">P17*ref_invites*P20</f>
        <v>3.93668396794002</v>
      </c>
      <c r="Q18" s="33" t="n">
        <f aca="false">Q17*ref_invites*Q20</f>
        <v>4.43935799254673</v>
      </c>
      <c r="R18" s="33" t="n">
        <f aca="false">R17*ref_invites*R20</f>
        <v>6.09294186367173</v>
      </c>
      <c r="S18" s="33" t="n">
        <f aca="false">S17*ref_invites*S20</f>
        <v>7.54766704716397</v>
      </c>
      <c r="T18" s="33" t="n">
        <f aca="false">T17*ref_invites*T20</f>
        <v>8.82618745587877</v>
      </c>
      <c r="U18" s="33" t="n">
        <f aca="false">U17*ref_invites*U20</f>
        <v>9.94858231831536</v>
      </c>
      <c r="V18" s="33" t="n">
        <f aca="false">V17*ref_invites*V20</f>
        <v>10.959844548465</v>
      </c>
      <c r="W18" s="33" t="n">
        <f aca="false">W17*ref_invites*W20</f>
        <v>11.8453242813894</v>
      </c>
      <c r="X18" s="33" t="n">
        <f aca="false">X17*ref_invites*X20</f>
        <v>12.6193705943199</v>
      </c>
      <c r="Y18" s="33" t="n">
        <f aca="false">Y17*ref_invites*Y20</f>
        <v>13.2947016482489</v>
      </c>
      <c r="Z18" s="33" t="n">
        <f aca="false">Z17*ref_invites*Z20</f>
        <v>13.9102394310087</v>
      </c>
      <c r="AA18" s="33" t="n">
        <f aca="false">AA17*ref_invites*AA20</f>
        <v>14.4450435092831</v>
      </c>
      <c r="AB18" s="33" t="n">
        <f aca="false">AB17*ref_invites*AB20</f>
        <v>14.9083431933411</v>
      </c>
      <c r="AC18" s="33" t="n">
        <f aca="false">AC17*ref_invites*AC20</f>
        <v>15.3083186923081</v>
      </c>
    </row>
    <row r="19" customFormat="false" ht="15" hidden="false" customHeight="false" outlineLevel="0" collapsed="false">
      <c r="A19" s="4" t="s">
        <v>221</v>
      </c>
      <c r="B19" s="33" t="n">
        <f aca="false">B18*ref_conv</f>
        <v>0.0150454340494792</v>
      </c>
      <c r="C19" s="33" t="n">
        <f aca="false">C18*ref_conv</f>
        <v>0.0294717586748349</v>
      </c>
      <c r="D19" s="33" t="n">
        <f aca="false">D18*ref_conv</f>
        <v>0.0433034467807446</v>
      </c>
      <c r="E19" s="33" t="n">
        <f aca="false">E18*ref_conv</f>
        <v>0.0565640055023899</v>
      </c>
      <c r="F19" s="33" t="n">
        <f aca="false">F18*ref_conv</f>
        <v>0.0692760143146908</v>
      </c>
      <c r="G19" s="33" t="n">
        <f aca="false">G18*ref_conv</f>
        <v>0.0814611616377546</v>
      </c>
      <c r="H19" s="33" t="n">
        <f aca="false">H18*ref_conv</f>
        <v>0.0931402799978803</v>
      </c>
      <c r="I19" s="33" t="n">
        <f aca="false">I18*ref_conv</f>
        <v>0.104333379801114</v>
      </c>
      <c r="J19" s="33" t="n">
        <f aca="false">J18*ref_conv</f>
        <v>0.115059681774106</v>
      </c>
      <c r="K19" s="33" t="n">
        <f aca="false">K18*ref_conv</f>
        <v>0.125337648124856</v>
      </c>
      <c r="L19" s="33" t="n">
        <f aca="false">L18*ref_conv</f>
        <v>0.135185012473861</v>
      </c>
      <c r="M19" s="33" t="n">
        <f aca="false">M18*ref_conv</f>
        <v>0.144618808604183</v>
      </c>
      <c r="N19" s="33" t="n">
        <f aca="false">N18*ref_conv</f>
        <v>0.596774200104842</v>
      </c>
      <c r="O19" s="33" t="n">
        <f aca="false">O18*ref_conv</f>
        <v>0.740101644531205</v>
      </c>
      <c r="P19" s="33" t="n">
        <f aca="false">P18*ref_conv</f>
        <v>0.866070472946804</v>
      </c>
      <c r="Q19" s="33" t="n">
        <f aca="false">Q18*ref_conv</f>
        <v>0.97665875836028</v>
      </c>
      <c r="R19" s="33" t="n">
        <f aca="false">R18*ref_conv</f>
        <v>1.34044721000778</v>
      </c>
      <c r="S19" s="33" t="n">
        <f aca="false">S18*ref_conv</f>
        <v>1.66048675037607</v>
      </c>
      <c r="T19" s="33" t="n">
        <f aca="false">T18*ref_conv</f>
        <v>1.94176124029333</v>
      </c>
      <c r="U19" s="33" t="n">
        <f aca="false">U18*ref_conv</f>
        <v>2.18868811002938</v>
      </c>
      <c r="V19" s="33" t="n">
        <f aca="false">V18*ref_conv</f>
        <v>2.4111658006623</v>
      </c>
      <c r="W19" s="33" t="n">
        <f aca="false">W18*ref_conv</f>
        <v>2.60597134190567</v>
      </c>
      <c r="X19" s="33" t="n">
        <f aca="false">X18*ref_conv</f>
        <v>2.77626153075038</v>
      </c>
      <c r="Y19" s="33" t="n">
        <f aca="false">Y18*ref_conv</f>
        <v>2.92483436261477</v>
      </c>
      <c r="Z19" s="33" t="n">
        <f aca="false">Z18*ref_conv</f>
        <v>3.06025267482191</v>
      </c>
      <c r="AA19" s="33" t="n">
        <f aca="false">AA18*ref_conv</f>
        <v>3.17790957204228</v>
      </c>
      <c r="AB19" s="33" t="n">
        <f aca="false">AB18*ref_conv</f>
        <v>3.27983550253504</v>
      </c>
      <c r="AC19" s="33" t="n">
        <f aca="false">AC18*ref_conv</f>
        <v>3.36783011230778</v>
      </c>
    </row>
    <row r="20" customFormat="false" ht="15" hidden="false" customHeight="false" outlineLevel="0" collapsed="false">
      <c r="A20" s="4" t="s">
        <v>222</v>
      </c>
      <c r="B20" s="34" t="n">
        <v>0.0833333333333333</v>
      </c>
      <c r="C20" s="34" t="n">
        <v>0.0833333333333333</v>
      </c>
      <c r="D20" s="34" t="n">
        <v>0.0833333333333333</v>
      </c>
      <c r="E20" s="34" t="n">
        <v>0.0833333333333333</v>
      </c>
      <c r="F20" s="34" t="n">
        <v>0.0833333333333333</v>
      </c>
      <c r="G20" s="34" t="n">
        <v>0.0833333333333333</v>
      </c>
      <c r="H20" s="34" t="n">
        <v>0.0833333333333333</v>
      </c>
      <c r="I20" s="34" t="n">
        <v>0.0833333333333333</v>
      </c>
      <c r="J20" s="34" t="n">
        <v>0.0833333333333333</v>
      </c>
      <c r="K20" s="34" t="n">
        <v>0.0833333333333333</v>
      </c>
      <c r="L20" s="34" t="n">
        <v>0.0833333333333333</v>
      </c>
      <c r="M20" s="34" t="n">
        <v>0.0833333333333333</v>
      </c>
      <c r="N20" s="34" t="n">
        <v>0.25</v>
      </c>
      <c r="O20" s="34" t="n">
        <v>0.25</v>
      </c>
      <c r="P20" s="34" t="n">
        <v>0.25</v>
      </c>
      <c r="Q20" s="34" t="n">
        <v>0.25</v>
      </c>
      <c r="R20" s="34" t="n">
        <v>0.25</v>
      </c>
      <c r="S20" s="34" t="n">
        <v>0.25</v>
      </c>
      <c r="T20" s="34" t="n">
        <v>0.25</v>
      </c>
      <c r="U20" s="34" t="n">
        <v>0.25</v>
      </c>
      <c r="V20" s="34" t="n">
        <v>0.25</v>
      </c>
      <c r="W20" s="34" t="n">
        <v>0.25</v>
      </c>
      <c r="X20" s="34" t="n">
        <v>0.25</v>
      </c>
      <c r="Y20" s="34" t="n">
        <v>0.25</v>
      </c>
      <c r="Z20" s="34" t="n">
        <v>0.25</v>
      </c>
      <c r="AA20" s="34" t="n">
        <v>0.25</v>
      </c>
      <c r="AB20" s="34" t="n">
        <v>0.25</v>
      </c>
      <c r="AC20" s="34" t="n">
        <v>0.25</v>
      </c>
    </row>
    <row r="21" customFormat="false" ht="15" hidden="false" customHeight="false" outlineLevel="0" collapsed="false">
      <c r="A21" s="35" t="s">
        <v>223</v>
      </c>
      <c r="B21" s="33" t="n">
        <v>1</v>
      </c>
      <c r="C21" s="33" t="n">
        <v>1</v>
      </c>
      <c r="D21" s="33" t="n">
        <v>1</v>
      </c>
      <c r="E21" s="33" t="n">
        <v>1</v>
      </c>
      <c r="F21" s="33" t="n">
        <v>1</v>
      </c>
      <c r="G21" s="33" t="n">
        <v>1</v>
      </c>
      <c r="H21" s="33" t="n">
        <v>1</v>
      </c>
      <c r="I21" s="33" t="n">
        <v>1</v>
      </c>
      <c r="J21" s="33" t="n">
        <v>1</v>
      </c>
      <c r="K21" s="33" t="n">
        <v>1</v>
      </c>
      <c r="L21" s="33" t="n">
        <v>1</v>
      </c>
      <c r="M21" s="33" t="n">
        <v>1</v>
      </c>
      <c r="N21" s="33" t="n">
        <v>2</v>
      </c>
      <c r="O21" s="33" t="n">
        <v>2</v>
      </c>
      <c r="P21" s="33" t="n">
        <v>2</v>
      </c>
      <c r="Q21" s="33" t="n">
        <v>2</v>
      </c>
      <c r="R21" s="33" t="n">
        <v>3</v>
      </c>
      <c r="S21" s="33" t="n">
        <v>3</v>
      </c>
      <c r="T21" s="33" t="n">
        <v>3</v>
      </c>
      <c r="U21" s="33" t="n">
        <v>3</v>
      </c>
      <c r="V21" s="33" t="n">
        <v>4</v>
      </c>
      <c r="W21" s="33" t="n">
        <v>4</v>
      </c>
      <c r="X21" s="33" t="n">
        <v>4</v>
      </c>
      <c r="Y21" s="33" t="n">
        <v>4</v>
      </c>
      <c r="Z21" s="33" t="n">
        <v>5</v>
      </c>
      <c r="AA21" s="33" t="n">
        <v>5</v>
      </c>
      <c r="AB21" s="33" t="n">
        <v>5</v>
      </c>
      <c r="AC21" s="33" t="n">
        <v>5</v>
      </c>
    </row>
    <row r="22" customFormat="false" ht="15" hidden="false" customHeight="false" outlineLevel="0" collapsed="false">
      <c r="A22" s="35" t="s">
        <v>224</v>
      </c>
      <c r="B22" s="33" t="n">
        <f aca="false">IF(B21&gt;=intl_start_year,1,0)</f>
        <v>0</v>
      </c>
      <c r="C22" s="33" t="n">
        <f aca="false">IF(C21&gt;=intl_start_year,1,0)</f>
        <v>0</v>
      </c>
      <c r="D22" s="33" t="n">
        <f aca="false">IF(D21&gt;=intl_start_year,1,0)</f>
        <v>0</v>
      </c>
      <c r="E22" s="33" t="n">
        <f aca="false">IF(E21&gt;=intl_start_year,1,0)</f>
        <v>0</v>
      </c>
      <c r="F22" s="33" t="n">
        <f aca="false">IF(F21&gt;=intl_start_year,1,0)</f>
        <v>0</v>
      </c>
      <c r="G22" s="33" t="n">
        <f aca="false">IF(G21&gt;=intl_start_year,1,0)</f>
        <v>0</v>
      </c>
      <c r="H22" s="33" t="n">
        <f aca="false">IF(H21&gt;=intl_start_year,1,0)</f>
        <v>0</v>
      </c>
      <c r="I22" s="33" t="n">
        <f aca="false">IF(I21&gt;=intl_start_year,1,0)</f>
        <v>0</v>
      </c>
      <c r="J22" s="33" t="n">
        <f aca="false">IF(J21&gt;=intl_start_year,1,0)</f>
        <v>0</v>
      </c>
      <c r="K22" s="33" t="n">
        <f aca="false">IF(K21&gt;=intl_start_year,1,0)</f>
        <v>0</v>
      </c>
      <c r="L22" s="33" t="n">
        <f aca="false">IF(L21&gt;=intl_start_year,1,0)</f>
        <v>0</v>
      </c>
      <c r="M22" s="33" t="n">
        <f aca="false">IF(M21&gt;=intl_start_year,1,0)</f>
        <v>0</v>
      </c>
      <c r="N22" s="33" t="n">
        <f aca="false">IF(N21&gt;=intl_start_year,1,0)</f>
        <v>0</v>
      </c>
      <c r="O22" s="33" t="n">
        <f aca="false">IF(O21&gt;=intl_start_year,1,0)</f>
        <v>0</v>
      </c>
      <c r="P22" s="33" t="n">
        <f aca="false">IF(P21&gt;=intl_start_year,1,0)</f>
        <v>0</v>
      </c>
      <c r="Q22" s="33" t="n">
        <f aca="false">IF(Q21&gt;=intl_start_year,1,0)</f>
        <v>0</v>
      </c>
      <c r="R22" s="33" t="n">
        <f aca="false">IF(R21&gt;=intl_start_year,1,0)</f>
        <v>1</v>
      </c>
      <c r="S22" s="33" t="n">
        <f aca="false">IF(S21&gt;=intl_start_year,1,0)</f>
        <v>1</v>
      </c>
      <c r="T22" s="33" t="n">
        <f aca="false">IF(T21&gt;=intl_start_year,1,0)</f>
        <v>1</v>
      </c>
      <c r="U22" s="33" t="n">
        <f aca="false">IF(U21&gt;=intl_start_year,1,0)</f>
        <v>1</v>
      </c>
      <c r="V22" s="33" t="n">
        <f aca="false">IF(V21&gt;=intl_start_year,1,0)</f>
        <v>1</v>
      </c>
      <c r="W22" s="33" t="n">
        <f aca="false">IF(W21&gt;=intl_start_year,1,0)</f>
        <v>1</v>
      </c>
      <c r="X22" s="33" t="n">
        <f aca="false">IF(X21&gt;=intl_start_year,1,0)</f>
        <v>1</v>
      </c>
      <c r="Y22" s="33" t="n">
        <f aca="false">IF(Y21&gt;=intl_start_year,1,0)</f>
        <v>1</v>
      </c>
      <c r="Z22" s="33" t="n">
        <f aca="false">IF(Z21&gt;=intl_start_year,1,0)</f>
        <v>1</v>
      </c>
      <c r="AA22" s="33" t="n">
        <f aca="false">IF(AA21&gt;=intl_start_year,1,0)</f>
        <v>1</v>
      </c>
      <c r="AB22" s="33" t="n">
        <f aca="false">IF(AB21&gt;=intl_start_year,1,0)</f>
        <v>1</v>
      </c>
      <c r="AC22" s="33" t="n">
        <f aca="false">IF(AC21&gt;=intl_start_year,1,0)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9" min="2" style="0" width="11"/>
  </cols>
  <sheetData>
    <row r="1" customFormat="false" ht="15" hidden="false" customHeight="false" outlineLevel="0" collapsed="false">
      <c r="A1" s="30" t="s">
        <v>225</v>
      </c>
    </row>
    <row r="2" customFormat="false" ht="15" hidden="false" customHeight="false" outlineLevel="0" collapsed="false">
      <c r="A2" s="31" t="s">
        <v>226</v>
      </c>
    </row>
    <row r="4" customFormat="false" ht="15" hidden="false" customHeight="false" outlineLevel="0" collapsed="false">
      <c r="A4" s="32" t="s">
        <v>178</v>
      </c>
      <c r="B4" s="10" t="s">
        <v>179</v>
      </c>
      <c r="C4" s="10" t="s">
        <v>180</v>
      </c>
      <c r="D4" s="10" t="s">
        <v>181</v>
      </c>
      <c r="E4" s="10" t="s">
        <v>182</v>
      </c>
      <c r="F4" s="10" t="s">
        <v>183</v>
      </c>
      <c r="G4" s="10" t="s">
        <v>184</v>
      </c>
      <c r="H4" s="10" t="s">
        <v>185</v>
      </c>
      <c r="I4" s="10" t="s">
        <v>186</v>
      </c>
      <c r="J4" s="10" t="s">
        <v>187</v>
      </c>
      <c r="K4" s="10" t="s">
        <v>188</v>
      </c>
      <c r="L4" s="10" t="s">
        <v>189</v>
      </c>
      <c r="M4" s="10" t="s">
        <v>190</v>
      </c>
      <c r="N4" s="10" t="s">
        <v>191</v>
      </c>
      <c r="O4" s="10" t="s">
        <v>192</v>
      </c>
      <c r="P4" s="10" t="s">
        <v>193</v>
      </c>
      <c r="Q4" s="10" t="s">
        <v>194</v>
      </c>
      <c r="R4" s="10" t="s">
        <v>195</v>
      </c>
      <c r="S4" s="10" t="s">
        <v>196</v>
      </c>
      <c r="T4" s="10" t="s">
        <v>197</v>
      </c>
      <c r="U4" s="10" t="s">
        <v>198</v>
      </c>
      <c r="V4" s="10" t="s">
        <v>199</v>
      </c>
      <c r="W4" s="10" t="s">
        <v>200</v>
      </c>
      <c r="X4" s="10" t="s">
        <v>201</v>
      </c>
      <c r="Y4" s="10" t="s">
        <v>202</v>
      </c>
      <c r="Z4" s="10" t="s">
        <v>203</v>
      </c>
      <c r="AA4" s="10" t="s">
        <v>204</v>
      </c>
      <c r="AB4" s="10" t="s">
        <v>205</v>
      </c>
      <c r="AC4" s="10" t="s">
        <v>206</v>
      </c>
    </row>
    <row r="5" customFormat="false" ht="15" hidden="false" customHeight="false" outlineLevel="0" collapsed="false">
      <c r="A5" s="4" t="s">
        <v>227</v>
      </c>
      <c r="B5" s="33" t="n">
        <f aca="false">Growth!B17</f>
        <v>2.34474296875</v>
      </c>
      <c r="C5" s="33" t="n">
        <f aca="false">Growth!C17</f>
        <v>4.59300135192232</v>
      </c>
      <c r="D5" s="33" t="n">
        <f aca="false">Growth!D17</f>
        <v>6.74858910868747</v>
      </c>
      <c r="E5" s="33" t="n">
        <f aca="false">Growth!E17</f>
        <v>8.81516968868414</v>
      </c>
      <c r="F5" s="33" t="n">
        <f aca="false">Growth!F17</f>
        <v>10.7962619711206</v>
      </c>
      <c r="G5" s="33" t="n">
        <f aca="false">Growth!G17</f>
        <v>12.6952459695202</v>
      </c>
      <c r="H5" s="33" t="n">
        <f aca="false">Growth!H17</f>
        <v>14.515368311358</v>
      </c>
      <c r="I5" s="33" t="n">
        <f aca="false">Growth!I17</f>
        <v>16.2597475014723</v>
      </c>
      <c r="J5" s="33" t="n">
        <f aca="false">Growth!J17</f>
        <v>17.9313789777828</v>
      </c>
      <c r="K5" s="33" t="n">
        <f aca="false">Growth!K17</f>
        <v>19.5331399675101</v>
      </c>
      <c r="L5" s="33" t="n">
        <f aca="false">Growth!L17</f>
        <v>21.0677941517706</v>
      </c>
      <c r="M5" s="33" t="n">
        <f aca="false">Growth!M17</f>
        <v>22.5379961461064</v>
      </c>
      <c r="N5" s="33" t="n">
        <f aca="false">Growth!N17</f>
        <v>31.0012571483035</v>
      </c>
      <c r="O5" s="33" t="n">
        <f aca="false">Growth!O17</f>
        <v>38.4468386769457</v>
      </c>
      <c r="P5" s="33" t="n">
        <f aca="false">Growth!P17</f>
        <v>44.9906739193145</v>
      </c>
      <c r="Q5" s="33" t="n">
        <f aca="false">Growth!Q17</f>
        <v>50.7355199148197</v>
      </c>
      <c r="R5" s="33" t="n">
        <f aca="false">Growth!R17</f>
        <v>69.6336212991054</v>
      </c>
      <c r="S5" s="33" t="n">
        <f aca="false">Growth!S17</f>
        <v>86.2590519675882</v>
      </c>
      <c r="T5" s="33" t="n">
        <f aca="false">Growth!T17</f>
        <v>100.870713781472</v>
      </c>
      <c r="U5" s="33" t="n">
        <f aca="false">Growth!U17</f>
        <v>113.69808363789</v>
      </c>
      <c r="V5" s="33" t="n">
        <f aca="false">Growth!V17</f>
        <v>125.255366268172</v>
      </c>
      <c r="W5" s="33" t="n">
        <f aca="false">Growth!W17</f>
        <v>135.37513464445</v>
      </c>
      <c r="X5" s="33" t="n">
        <f aca="false">Growth!X17</f>
        <v>144.221378220799</v>
      </c>
      <c r="Y5" s="33" t="n">
        <f aca="false">Growth!Y17</f>
        <v>151.939447408559</v>
      </c>
      <c r="Z5" s="33" t="n">
        <f aca="false">Growth!Z17</f>
        <v>158.974164925813</v>
      </c>
      <c r="AA5" s="33" t="n">
        <f aca="false">Growth!AA17</f>
        <v>165.086211534664</v>
      </c>
      <c r="AB5" s="33" t="n">
        <f aca="false">Growth!AB17</f>
        <v>170.381065066756</v>
      </c>
      <c r="AC5" s="33" t="n">
        <f aca="false">Growth!AC17</f>
        <v>174.952213626378</v>
      </c>
    </row>
    <row r="6" customFormat="false" ht="15" hidden="false" customHeight="false" outlineLevel="0" collapsed="false">
      <c r="A6" s="4" t="s">
        <v>228</v>
      </c>
      <c r="B6" s="33" t="n">
        <f aca="false">B5*plans_per_prac*1</f>
        <v>82.06600390625</v>
      </c>
      <c r="C6" s="33" t="n">
        <f aca="false">C5*plans_per_prac*1</f>
        <v>160.755047317281</v>
      </c>
      <c r="D6" s="33" t="n">
        <f aca="false">D5*plans_per_prac*1</f>
        <v>236.200618804061</v>
      </c>
      <c r="E6" s="33" t="n">
        <f aca="false">E5*plans_per_prac*1</f>
        <v>308.530939103945</v>
      </c>
      <c r="F6" s="33" t="n">
        <f aca="false">F5*plans_per_prac*1</f>
        <v>377.869168989223</v>
      </c>
      <c r="G6" s="33" t="n">
        <f aca="false">G5*plans_per_prac*1</f>
        <v>444.333608933207</v>
      </c>
      <c r="H6" s="33" t="n">
        <f aca="false">H5*plans_per_prac*1</f>
        <v>508.037890897529</v>
      </c>
      <c r="I6" s="33" t="n">
        <f aca="false">I5*plans_per_prac*1</f>
        <v>569.09116255153</v>
      </c>
      <c r="J6" s="33" t="n">
        <f aca="false">J5*plans_per_prac*1</f>
        <v>627.598264222396</v>
      </c>
      <c r="K6" s="33" t="n">
        <f aca="false">K5*plans_per_prac*1</f>
        <v>683.659898862853</v>
      </c>
      <c r="L6" s="33" t="n">
        <f aca="false">L5*plans_per_prac*1</f>
        <v>737.372795311971</v>
      </c>
      <c r="M6" s="33" t="n">
        <f aca="false">M5*plans_per_prac*1</f>
        <v>788.829865113724</v>
      </c>
      <c r="N6" s="33" t="n">
        <f aca="false">N5*plans_per_prac*3</f>
        <v>3255.13200057187</v>
      </c>
      <c r="O6" s="33" t="n">
        <f aca="false">O5*plans_per_prac*3</f>
        <v>4036.9180610793</v>
      </c>
      <c r="P6" s="33" t="n">
        <f aca="false">P5*plans_per_prac*3</f>
        <v>4724.02076152802</v>
      </c>
      <c r="Q6" s="33" t="n">
        <f aca="false">Q5*plans_per_prac*3</f>
        <v>5327.22959105607</v>
      </c>
      <c r="R6" s="33" t="n">
        <f aca="false">R5*plans_per_prac*3</f>
        <v>7311.53023640607</v>
      </c>
      <c r="S6" s="33" t="n">
        <f aca="false">S5*plans_per_prac*3</f>
        <v>9057.20045659676</v>
      </c>
      <c r="T6" s="33" t="n">
        <f aca="false">T5*plans_per_prac*3</f>
        <v>10591.4249470545</v>
      </c>
      <c r="U6" s="33" t="n">
        <f aca="false">U5*plans_per_prac*3</f>
        <v>11938.2987819784</v>
      </c>
      <c r="V6" s="33" t="n">
        <f aca="false">V5*plans_per_prac*3</f>
        <v>13151.813458158</v>
      </c>
      <c r="W6" s="33" t="n">
        <f aca="false">W5*plans_per_prac*3</f>
        <v>14214.3891376673</v>
      </c>
      <c r="X6" s="33" t="n">
        <f aca="false">X5*plans_per_prac*3</f>
        <v>15143.2447131839</v>
      </c>
      <c r="Y6" s="33" t="n">
        <f aca="false">Y5*plans_per_prac*3</f>
        <v>15953.6419778987</v>
      </c>
      <c r="Z6" s="33" t="n">
        <f aca="false">Z5*plans_per_prac*3</f>
        <v>16692.2873172104</v>
      </c>
      <c r="AA6" s="33" t="n">
        <f aca="false">AA5*plans_per_prac*3</f>
        <v>17334.0522111397</v>
      </c>
      <c r="AB6" s="33" t="n">
        <f aca="false">AB5*plans_per_prac*3</f>
        <v>17890.0118320093</v>
      </c>
      <c r="AC6" s="33" t="n">
        <f aca="false">AC5*plans_per_prac*3</f>
        <v>18369.9824307697</v>
      </c>
    </row>
    <row r="7" customFormat="false" ht="15" hidden="false" customHeight="false" outlineLevel="0" collapsed="false">
      <c r="A7" s="4" t="s">
        <v>229</v>
      </c>
      <c r="B7" s="33" t="n">
        <f aca="false">B6*credits_per_plan</f>
        <v>106.685805078125</v>
      </c>
      <c r="C7" s="33" t="n">
        <f aca="false">C6*credits_per_plan</f>
        <v>208.981561512466</v>
      </c>
      <c r="D7" s="33" t="n">
        <f aca="false">D6*credits_per_plan</f>
        <v>307.06080444528</v>
      </c>
      <c r="E7" s="33" t="n">
        <f aca="false">E6*credits_per_plan</f>
        <v>401.090220835129</v>
      </c>
      <c r="F7" s="33" t="n">
        <f aca="false">F6*credits_per_plan</f>
        <v>491.229919685989</v>
      </c>
      <c r="G7" s="33" t="n">
        <f aca="false">G6*credits_per_plan</f>
        <v>577.633691613169</v>
      </c>
      <c r="H7" s="33" t="n">
        <f aca="false">H6*credits_per_plan</f>
        <v>660.449258166787</v>
      </c>
      <c r="I7" s="33" t="n">
        <f aca="false">I6*credits_per_plan</f>
        <v>739.81851131699</v>
      </c>
      <c r="J7" s="33" t="n">
        <f aca="false">J6*credits_per_plan</f>
        <v>815.877743489115</v>
      </c>
      <c r="K7" s="33" t="n">
        <f aca="false">K6*credits_per_plan</f>
        <v>888.757868521708</v>
      </c>
      <c r="L7" s="33" t="n">
        <f aca="false">L6*credits_per_plan</f>
        <v>958.584633905562</v>
      </c>
      <c r="M7" s="33" t="n">
        <f aca="false">M6*credits_per_plan</f>
        <v>1025.47882464784</v>
      </c>
      <c r="N7" s="33" t="n">
        <f aca="false">N6*credits_per_plan</f>
        <v>4231.67160074343</v>
      </c>
      <c r="O7" s="33" t="n">
        <f aca="false">O6*credits_per_plan</f>
        <v>5247.99347940309</v>
      </c>
      <c r="P7" s="33" t="n">
        <f aca="false">P6*credits_per_plan</f>
        <v>6141.22698998643</v>
      </c>
      <c r="Q7" s="33" t="n">
        <f aca="false">Q6*credits_per_plan</f>
        <v>6925.39846837289</v>
      </c>
      <c r="R7" s="33" t="n">
        <f aca="false">R6*credits_per_plan</f>
        <v>9504.98930732789</v>
      </c>
      <c r="S7" s="33" t="n">
        <f aca="false">S6*credits_per_plan</f>
        <v>11774.3605935758</v>
      </c>
      <c r="T7" s="33" t="n">
        <f aca="false">T6*credits_per_plan</f>
        <v>13768.8524311709</v>
      </c>
      <c r="U7" s="33" t="n">
        <f aca="false">U6*credits_per_plan</f>
        <v>15519.788416572</v>
      </c>
      <c r="V7" s="33" t="n">
        <f aca="false">V6*credits_per_plan</f>
        <v>17097.3574956054</v>
      </c>
      <c r="W7" s="33" t="n">
        <f aca="false">W6*credits_per_plan</f>
        <v>18478.7058789674</v>
      </c>
      <c r="X7" s="33" t="n">
        <f aca="false">X6*credits_per_plan</f>
        <v>19686.2181271391</v>
      </c>
      <c r="Y7" s="33" t="n">
        <f aca="false">Y6*credits_per_plan</f>
        <v>20739.7345712683</v>
      </c>
      <c r="Z7" s="33" t="n">
        <f aca="false">Z6*credits_per_plan</f>
        <v>21699.9735123735</v>
      </c>
      <c r="AA7" s="33" t="n">
        <f aca="false">AA6*credits_per_plan</f>
        <v>22534.2678744816</v>
      </c>
      <c r="AB7" s="33" t="n">
        <f aca="false">AB6*credits_per_plan</f>
        <v>23257.0153816121</v>
      </c>
      <c r="AC7" s="33" t="n">
        <f aca="false">AC6*credits_per_plan</f>
        <v>23880.9771600006</v>
      </c>
    </row>
    <row r="8" customFormat="false" ht="15" hidden="false" customHeight="false" outlineLevel="0" collapsed="false">
      <c r="A8" s="4" t="s">
        <v>230</v>
      </c>
      <c r="B8" s="33" t="n">
        <f aca="false">B7/credit_consume</f>
        <v>125.512711856618</v>
      </c>
      <c r="C8" s="33" t="n">
        <f aca="false">C7/credit_consume</f>
        <v>245.860660602901</v>
      </c>
      <c r="D8" s="33" t="n">
        <f aca="false">D7/credit_consume</f>
        <v>361.248005229741</v>
      </c>
      <c r="E8" s="33" t="n">
        <f aca="false">E7/credit_consume</f>
        <v>471.870848041328</v>
      </c>
      <c r="F8" s="33" t="n">
        <f aca="false">F7/credit_consume</f>
        <v>577.917552571752</v>
      </c>
      <c r="G8" s="33" t="n">
        <f aca="false">G7/credit_consume</f>
        <v>679.56904895667</v>
      </c>
      <c r="H8" s="33" t="n">
        <f aca="false">H7/credit_consume</f>
        <v>776.999127255044</v>
      </c>
      <c r="I8" s="33" t="n">
        <f aca="false">I7/credit_consume</f>
        <v>870.374719196458</v>
      </c>
      <c r="J8" s="33" t="n">
        <f aca="false">J7/credit_consume</f>
        <v>959.856168810724</v>
      </c>
      <c r="K8" s="33" t="n">
        <f aca="false">K7/credit_consume</f>
        <v>1045.59749237848</v>
      </c>
      <c r="L8" s="33" t="n">
        <f aca="false">L7/credit_consume</f>
        <v>1127.74662812419</v>
      </c>
      <c r="M8" s="33" t="n">
        <f aca="false">M7/credit_consume</f>
        <v>1206.44567605628</v>
      </c>
      <c r="N8" s="33" t="n">
        <f aca="false">N7/credit_consume</f>
        <v>4978.43717734521</v>
      </c>
      <c r="O8" s="33" t="n">
        <f aca="false">O7/credit_consume</f>
        <v>6174.10997576834</v>
      </c>
      <c r="P8" s="33" t="n">
        <f aca="false">P7/credit_consume</f>
        <v>7224.9729293958</v>
      </c>
      <c r="Q8" s="33" t="n">
        <f aca="false">Q7/credit_consume</f>
        <v>8147.52760985046</v>
      </c>
      <c r="R8" s="33" t="n">
        <f aca="false">R7/credit_consume</f>
        <v>11182.3403615622</v>
      </c>
      <c r="S8" s="33" t="n">
        <f aca="false">S7/credit_consume</f>
        <v>13852.1889336186</v>
      </c>
      <c r="T8" s="33" t="n">
        <f aca="false">T7/credit_consume</f>
        <v>16198.6499190246</v>
      </c>
      <c r="U8" s="33" t="n">
        <f aca="false">U7/credit_consume</f>
        <v>18258.5746077317</v>
      </c>
      <c r="V8" s="33" t="n">
        <f aca="false">V7/credit_consume</f>
        <v>20114.538230124</v>
      </c>
      <c r="W8" s="33" t="n">
        <f aca="false">W7/credit_consume</f>
        <v>21739.6539752558</v>
      </c>
      <c r="X8" s="33" t="n">
        <f aca="false">X7/credit_consume</f>
        <v>23160.2566201636</v>
      </c>
      <c r="Y8" s="33" t="n">
        <f aca="false">Y7/credit_consume</f>
        <v>24399.6877309039</v>
      </c>
      <c r="Z8" s="33" t="n">
        <f aca="false">Z7/credit_consume</f>
        <v>25529.3806027924</v>
      </c>
      <c r="AA8" s="33" t="n">
        <f aca="false">AA7/credit_consume</f>
        <v>26510.9033817431</v>
      </c>
      <c r="AB8" s="33" t="n">
        <f aca="false">AB7/credit_consume</f>
        <v>27361.1945666025</v>
      </c>
      <c r="AC8" s="33" t="n">
        <f aca="false">AC7/credit_consume</f>
        <v>28095.2672470596</v>
      </c>
    </row>
    <row r="9" customFormat="false" ht="15" hidden="false" customHeight="false" outlineLevel="0" collapsed="false">
      <c r="A9" s="4" t="s">
        <v>231</v>
      </c>
      <c r="B9" s="36" t="n">
        <f aca="false">B8*rev_per_credit</f>
        <v>2824.0360167739</v>
      </c>
      <c r="C9" s="36" t="n">
        <f aca="false">C8*rev_per_credit</f>
        <v>5531.86486356527</v>
      </c>
      <c r="D9" s="36" t="n">
        <f aca="false">D8*rev_per_credit</f>
        <v>8128.08011766917</v>
      </c>
      <c r="E9" s="36" t="n">
        <f aca="false">E8*rev_per_credit</f>
        <v>10617.0940809299</v>
      </c>
      <c r="F9" s="36" t="n">
        <f aca="false">F8*rev_per_credit</f>
        <v>13003.1449328644</v>
      </c>
      <c r="G9" s="36" t="n">
        <f aca="false">G8*rev_per_credit</f>
        <v>15290.3036015251</v>
      </c>
      <c r="H9" s="36" t="n">
        <f aca="false">H8*rev_per_credit</f>
        <v>17482.4803632385</v>
      </c>
      <c r="I9" s="36" t="n">
        <f aca="false">I8*rev_per_credit</f>
        <v>19583.4311819203</v>
      </c>
      <c r="J9" s="36" t="n">
        <f aca="false">J8*rev_per_credit</f>
        <v>21596.7637982413</v>
      </c>
      <c r="K9" s="36" t="n">
        <f aca="false">K8*rev_per_credit</f>
        <v>23525.9435785158</v>
      </c>
      <c r="L9" s="36" t="n">
        <f aca="false">L8*rev_per_credit</f>
        <v>25374.2991327943</v>
      </c>
      <c r="M9" s="36" t="n">
        <f aca="false">M8*rev_per_credit</f>
        <v>27145.0277112664</v>
      </c>
      <c r="N9" s="36" t="n">
        <f aca="false">N8*rev_per_credit</f>
        <v>112014.836490267</v>
      </c>
      <c r="O9" s="36" t="n">
        <f aca="false">O8*rev_per_credit</f>
        <v>138917.474454788</v>
      </c>
      <c r="P9" s="36" t="n">
        <f aca="false">P8*rev_per_credit</f>
        <v>162561.890911406</v>
      </c>
      <c r="Q9" s="36" t="n">
        <f aca="false">Q8*rev_per_credit</f>
        <v>183319.371221635</v>
      </c>
      <c r="R9" s="36" t="n">
        <f aca="false">R8*rev_per_credit</f>
        <v>251602.65813515</v>
      </c>
      <c r="S9" s="36" t="n">
        <f aca="false">S8*rev_per_credit</f>
        <v>311674.251006418</v>
      </c>
      <c r="T9" s="36" t="n">
        <f aca="false">T8*rev_per_credit</f>
        <v>364469.623178053</v>
      </c>
      <c r="U9" s="36" t="n">
        <f aca="false">U8*rev_per_credit</f>
        <v>410817.928673963</v>
      </c>
      <c r="V9" s="36" t="n">
        <f aca="false">V8*rev_per_credit</f>
        <v>452577.11017779</v>
      </c>
      <c r="W9" s="36" t="n">
        <f aca="false">W8*rev_per_credit</f>
        <v>489142.214443256</v>
      </c>
      <c r="X9" s="36" t="n">
        <f aca="false">X8*rev_per_credit</f>
        <v>521105.773953681</v>
      </c>
      <c r="Y9" s="36" t="n">
        <f aca="false">Y8*rev_per_credit</f>
        <v>548992.973945338</v>
      </c>
      <c r="Z9" s="36" t="n">
        <f aca="false">Z8*rev_per_credit</f>
        <v>574411.063562829</v>
      </c>
      <c r="AA9" s="36" t="n">
        <f aca="false">AA8*rev_per_credit</f>
        <v>596495.326089219</v>
      </c>
      <c r="AB9" s="36" t="n">
        <f aca="false">AB8*rev_per_credit</f>
        <v>615626.877748556</v>
      </c>
      <c r="AC9" s="36" t="n">
        <f aca="false">AC8*rev_per_credit</f>
        <v>632143.51305884</v>
      </c>
    </row>
    <row r="10" customFormat="false" ht="15" hidden="false" customHeight="false" outlineLevel="0" collapsed="false">
      <c r="A10" s="4" t="s">
        <v>232</v>
      </c>
      <c r="B10" s="36" t="n">
        <f aca="false">IF(Growth!B21&gt;=vat_yr,B9*vat/(1+vat),0)</f>
        <v>0</v>
      </c>
      <c r="C10" s="36" t="n">
        <f aca="false">IF(Growth!C21&gt;=vat_yr,C9*vat/(1+vat),0)</f>
        <v>0</v>
      </c>
      <c r="D10" s="36" t="n">
        <f aca="false">IF(Growth!D21&gt;=vat_yr,D9*vat/(1+vat),0)</f>
        <v>0</v>
      </c>
      <c r="E10" s="36" t="n">
        <f aca="false">IF(Growth!E21&gt;=vat_yr,E9*vat/(1+vat),0)</f>
        <v>0</v>
      </c>
      <c r="F10" s="36" t="n">
        <f aca="false">IF(Growth!F21&gt;=vat_yr,F9*vat/(1+vat),0)</f>
        <v>0</v>
      </c>
      <c r="G10" s="36" t="n">
        <f aca="false">IF(Growth!G21&gt;=vat_yr,G9*vat/(1+vat),0)</f>
        <v>0</v>
      </c>
      <c r="H10" s="36" t="n">
        <f aca="false">IF(Growth!H21&gt;=vat_yr,H9*vat/(1+vat),0)</f>
        <v>0</v>
      </c>
      <c r="I10" s="36" t="n">
        <f aca="false">IF(Growth!I21&gt;=vat_yr,I9*vat/(1+vat),0)</f>
        <v>0</v>
      </c>
      <c r="J10" s="36" t="n">
        <f aca="false">IF(Growth!J21&gt;=vat_yr,J9*vat/(1+vat),0)</f>
        <v>0</v>
      </c>
      <c r="K10" s="36" t="n">
        <f aca="false">IF(Growth!K21&gt;=vat_yr,K9*vat/(1+vat),0)</f>
        <v>0</v>
      </c>
      <c r="L10" s="36" t="n">
        <f aca="false">IF(Growth!L21&gt;=vat_yr,L9*vat/(1+vat),0)</f>
        <v>0</v>
      </c>
      <c r="M10" s="36" t="n">
        <f aca="false">IF(Growth!M21&gt;=vat_yr,M9*vat/(1+vat),0)</f>
        <v>0</v>
      </c>
      <c r="N10" s="36" t="n">
        <f aca="false">IF(Growth!N21&gt;=vat_yr,N9*vat/(1+vat),0)</f>
        <v>14610.6308465566</v>
      </c>
      <c r="O10" s="36" t="n">
        <f aca="false">IF(Growth!O21&gt;=vat_yr,O9*vat/(1+vat),0)</f>
        <v>18119.6705810593</v>
      </c>
      <c r="P10" s="36" t="n">
        <f aca="false">IF(Growth!P21&gt;=vat_yr,P9*vat/(1+vat),0)</f>
        <v>21203.7249014877</v>
      </c>
      <c r="Q10" s="36" t="n">
        <f aca="false">IF(Growth!Q21&gt;=vat_yr,Q9*vat/(1+vat),0)</f>
        <v>23911.2223332568</v>
      </c>
      <c r="R10" s="36" t="n">
        <f aca="false">IF(Growth!R21&gt;=vat_yr,R9*vat/(1+vat),0)</f>
        <v>32817.7380176283</v>
      </c>
      <c r="S10" s="36" t="n">
        <f aca="false">IF(Growth!S21&gt;=vat_yr,S9*vat/(1+vat),0)</f>
        <v>40653.1631747502</v>
      </c>
      <c r="T10" s="36" t="n">
        <f aca="false">IF(Growth!T21&gt;=vat_yr,T9*vat/(1+vat),0)</f>
        <v>47539.5160667025</v>
      </c>
      <c r="U10" s="36" t="n">
        <f aca="false">IF(Growth!U21&gt;=vat_yr,U9*vat/(1+vat),0)</f>
        <v>53584.9472183431</v>
      </c>
      <c r="V10" s="36" t="n">
        <f aca="false">IF(Growth!V21&gt;=vat_yr,V9*vat/(1+vat),0)</f>
        <v>59031.7969797118</v>
      </c>
      <c r="W10" s="36" t="n">
        <f aca="false">IF(Growth!W21&gt;=vat_yr,W9*vat/(1+vat),0)</f>
        <v>63801.1584056421</v>
      </c>
      <c r="X10" s="36" t="n">
        <f aca="false">IF(Growth!X21&gt;=vat_yr,X9*vat/(1+vat),0)</f>
        <v>67970.3183417845</v>
      </c>
      <c r="Y10" s="36" t="n">
        <f aca="false">IF(Growth!Y21&gt;=vat_yr,Y9*vat/(1+vat),0)</f>
        <v>71607.7792102615</v>
      </c>
      <c r="Z10" s="36" t="n">
        <f aca="false">IF(Growth!Z21&gt;=vat_yr,Z9*vat/(1+vat),0)</f>
        <v>74923.1822038473</v>
      </c>
      <c r="AA10" s="36" t="n">
        <f aca="false">IF(Growth!AA21&gt;=vat_yr,AA9*vat/(1+vat),0)</f>
        <v>77803.7381855503</v>
      </c>
      <c r="AB10" s="36" t="n">
        <f aca="false">IF(Growth!AB21&gt;=vat_yr,AB9*vat/(1+vat),0)</f>
        <v>80299.157967203</v>
      </c>
      <c r="AC10" s="36" t="n">
        <f aca="false">IF(Growth!AC21&gt;=vat_yr,AC9*vat/(1+vat),0)</f>
        <v>82453.501703327</v>
      </c>
    </row>
    <row r="11" customFormat="false" ht="15" hidden="false" customHeight="false" outlineLevel="0" collapsed="false">
      <c r="A11" s="4" t="s">
        <v>233</v>
      </c>
      <c r="B11" s="36" t="n">
        <f aca="false">B9-B10</f>
        <v>2824.0360167739</v>
      </c>
      <c r="C11" s="36" t="n">
        <f aca="false">C9-C10</f>
        <v>5531.86486356527</v>
      </c>
      <c r="D11" s="36" t="n">
        <f aca="false">D9-D10</f>
        <v>8128.08011766917</v>
      </c>
      <c r="E11" s="36" t="n">
        <f aca="false">E9-E10</f>
        <v>10617.0940809299</v>
      </c>
      <c r="F11" s="36" t="n">
        <f aca="false">F9-F10</f>
        <v>13003.1449328644</v>
      </c>
      <c r="G11" s="36" t="n">
        <f aca="false">G9-G10</f>
        <v>15290.3036015251</v>
      </c>
      <c r="H11" s="36" t="n">
        <f aca="false">H9-H10</f>
        <v>17482.4803632385</v>
      </c>
      <c r="I11" s="36" t="n">
        <f aca="false">I9-I10</f>
        <v>19583.4311819203</v>
      </c>
      <c r="J11" s="36" t="n">
        <f aca="false">J9-J10</f>
        <v>21596.7637982413</v>
      </c>
      <c r="K11" s="36" t="n">
        <f aca="false">K9-K10</f>
        <v>23525.9435785158</v>
      </c>
      <c r="L11" s="36" t="n">
        <f aca="false">L9-L10</f>
        <v>25374.2991327943</v>
      </c>
      <c r="M11" s="36" t="n">
        <f aca="false">M9-M10</f>
        <v>27145.0277112664</v>
      </c>
      <c r="N11" s="36" t="n">
        <f aca="false">N9-N10</f>
        <v>97404.2056437106</v>
      </c>
      <c r="O11" s="36" t="n">
        <f aca="false">O9-O10</f>
        <v>120797.803873728</v>
      </c>
      <c r="P11" s="36" t="n">
        <f aca="false">P9-P10</f>
        <v>141358.166009918</v>
      </c>
      <c r="Q11" s="36" t="n">
        <f aca="false">Q9-Q10</f>
        <v>159408.148888379</v>
      </c>
      <c r="R11" s="36" t="n">
        <f aca="false">R9-R10</f>
        <v>218784.920117522</v>
      </c>
      <c r="S11" s="36" t="n">
        <f aca="false">S9-S10</f>
        <v>271021.087831668</v>
      </c>
      <c r="T11" s="36" t="n">
        <f aca="false">T9-T10</f>
        <v>316930.10711135</v>
      </c>
      <c r="U11" s="36" t="n">
        <f aca="false">U9-U10</f>
        <v>357232.98145562</v>
      </c>
      <c r="V11" s="36" t="n">
        <f aca="false">V9-V10</f>
        <v>393545.313198079</v>
      </c>
      <c r="W11" s="36" t="n">
        <f aca="false">W9-W10</f>
        <v>425341.056037614</v>
      </c>
      <c r="X11" s="36" t="n">
        <f aca="false">X9-X10</f>
        <v>453135.455611897</v>
      </c>
      <c r="Y11" s="36" t="n">
        <f aca="false">Y9-Y10</f>
        <v>477385.194735077</v>
      </c>
      <c r="Z11" s="36" t="n">
        <f aca="false">Z9-Z10</f>
        <v>499487.881358982</v>
      </c>
      <c r="AA11" s="36" t="n">
        <f aca="false">AA9-AA10</f>
        <v>518691.587903668</v>
      </c>
      <c r="AB11" s="36" t="n">
        <f aca="false">AB9-AB10</f>
        <v>535327.719781353</v>
      </c>
      <c r="AC11" s="36" t="n">
        <f aca="false">AC9-AC10</f>
        <v>549690.011355513</v>
      </c>
    </row>
    <row r="12" customFormat="false" ht="15" hidden="false" customHeight="false" outlineLevel="0" collapsed="false">
      <c r="A12" s="4" t="s">
        <v>234</v>
      </c>
      <c r="B12" s="33" t="n">
        <f aca="false">B9/avg_txn</f>
        <v>2.51025423713235</v>
      </c>
      <c r="C12" s="33" t="n">
        <f aca="false">C9/avg_txn</f>
        <v>4.91721321205802</v>
      </c>
      <c r="D12" s="33" t="n">
        <f aca="false">D9/avg_txn</f>
        <v>7.22496010459482</v>
      </c>
      <c r="E12" s="33" t="n">
        <f aca="false">E9/avg_txn</f>
        <v>9.43741696082655</v>
      </c>
      <c r="F12" s="33" t="n">
        <f aca="false">F9/avg_txn</f>
        <v>11.558351051435</v>
      </c>
      <c r="G12" s="33" t="n">
        <f aca="false">G9/avg_txn</f>
        <v>13.5913809791334</v>
      </c>
      <c r="H12" s="33" t="n">
        <f aca="false">H9/avg_txn</f>
        <v>15.5399825451009</v>
      </c>
      <c r="I12" s="33" t="n">
        <f aca="false">I9/avg_txn</f>
        <v>17.4074943839292</v>
      </c>
      <c r="J12" s="33" t="n">
        <f aca="false">J9/avg_txn</f>
        <v>19.1971233762145</v>
      </c>
      <c r="K12" s="33" t="n">
        <f aca="false">K9/avg_txn</f>
        <v>20.9119498475696</v>
      </c>
      <c r="L12" s="33" t="n">
        <f aca="false">L9/avg_txn</f>
        <v>22.5549325624838</v>
      </c>
      <c r="M12" s="33" t="n">
        <f aca="false">M9/avg_txn</f>
        <v>24.1289135211257</v>
      </c>
      <c r="N12" s="33" t="n">
        <f aca="false">N9/avg_txn</f>
        <v>99.5687435469042</v>
      </c>
      <c r="O12" s="33" t="n">
        <f aca="false">O9/avg_txn</f>
        <v>123.482199515367</v>
      </c>
      <c r="P12" s="33" t="n">
        <f aca="false">P9/avg_txn</f>
        <v>144.499458587916</v>
      </c>
      <c r="Q12" s="33" t="n">
        <f aca="false">Q9/avg_txn</f>
        <v>162.950552197009</v>
      </c>
      <c r="R12" s="33" t="n">
        <f aca="false">R9/avg_txn</f>
        <v>223.646807231245</v>
      </c>
      <c r="S12" s="33" t="n">
        <f aca="false">S9/avg_txn</f>
        <v>277.043778672371</v>
      </c>
      <c r="T12" s="33" t="n">
        <f aca="false">T9/avg_txn</f>
        <v>323.972998380491</v>
      </c>
      <c r="U12" s="33" t="n">
        <f aca="false">U9/avg_txn</f>
        <v>365.171492154634</v>
      </c>
      <c r="V12" s="33" t="n">
        <f aca="false">V9/avg_txn</f>
        <v>402.29076460248</v>
      </c>
      <c r="W12" s="33" t="n">
        <f aca="false">W9/avg_txn</f>
        <v>434.793079505116</v>
      </c>
      <c r="X12" s="33" t="n">
        <f aca="false">X9/avg_txn</f>
        <v>463.205132403272</v>
      </c>
      <c r="Y12" s="33" t="n">
        <f aca="false">Y9/avg_txn</f>
        <v>487.993754618079</v>
      </c>
      <c r="Z12" s="33" t="n">
        <f aca="false">Z9/avg_txn</f>
        <v>510.587612055848</v>
      </c>
      <c r="AA12" s="33" t="n">
        <f aca="false">AA9/avg_txn</f>
        <v>530.218067634861</v>
      </c>
      <c r="AB12" s="33" t="n">
        <f aca="false">AB9/avg_txn</f>
        <v>547.22389133205</v>
      </c>
      <c r="AC12" s="33" t="n">
        <f aca="false">AC9/avg_txn</f>
        <v>561.905344941191</v>
      </c>
    </row>
    <row r="13" customFormat="false" ht="15" hidden="false" customHeight="false" outlineLevel="0" collapsed="false">
      <c r="A13" s="4" t="s">
        <v>235</v>
      </c>
      <c r="B13" s="36" t="n">
        <f aca="false">B9*IF(Growth!B21&lt;=2,pf_pct_early,pf_pct_late)+B12*pf_fixed</f>
        <v>92.5656249942555</v>
      </c>
      <c r="C13" s="36" t="n">
        <f aca="false">C9*IF(Growth!C21&lt;=2,pf_pct_early,pf_pct_late)+C12*pf_fixed</f>
        <v>181.322237194639</v>
      </c>
      <c r="D13" s="36" t="n">
        <f aca="false">D9*IF(Growth!D21&lt;=2,pf_pct_early,pf_pct_late)+D12*pf_fixed</f>
        <v>266.420403856934</v>
      </c>
      <c r="E13" s="36" t="n">
        <f aca="false">E9*IF(Growth!E21&lt;=2,pf_pct_early,pf_pct_late)+E12*pf_fixed</f>
        <v>348.004750430479</v>
      </c>
      <c r="F13" s="36" t="n">
        <f aca="false">F9*IF(Growth!F21&lt;=2,pf_pct_early,pf_pct_late)+F12*pf_fixed</f>
        <v>426.214195021667</v>
      </c>
      <c r="G13" s="36" t="n">
        <f aca="false">G9*IF(Growth!G21&lt;=2,pf_pct_early,pf_pct_late)+G12*pf_fixed</f>
        <v>501.182173605544</v>
      </c>
      <c r="H13" s="36" t="n">
        <f aca="false">H9*IF(Growth!H21&lt;=2,pf_pct_early,pf_pct_late)+H12*pf_fixed</f>
        <v>573.036856350595</v>
      </c>
      <c r="I13" s="36" t="n">
        <f aca="false">I9*IF(Growth!I21&lt;=2,pf_pct_early,pf_pct_late)+I12*pf_fixed</f>
        <v>641.901355407388</v>
      </c>
      <c r="J13" s="36" t="n">
        <f aca="false">J9*IF(Growth!J21&lt;=2,pf_pct_early,pf_pct_late)+J12*pf_fixed</f>
        <v>707.893924497909</v>
      </c>
      <c r="K13" s="36" t="n">
        <f aca="false">K9*IF(Growth!K21&lt;=2,pf_pct_early,pf_pct_late)+K12*pf_fixed</f>
        <v>771.128150629129</v>
      </c>
      <c r="L13" s="36" t="n">
        <f aca="false">L9*IF(Growth!L21&lt;=2,pf_pct_early,pf_pct_late)+L12*pf_fixed</f>
        <v>831.713138241591</v>
      </c>
      <c r="M13" s="36" t="n">
        <f aca="false">M9*IF(Growth!M21&lt;=2,pf_pct_early,pf_pct_late)+M12*pf_fixed</f>
        <v>889.75368609151</v>
      </c>
      <c r="N13" s="36" t="n">
        <f aca="false">N9*IF(Growth!N21&lt;=2,pf_pct_early,pf_pct_late)+N12*pf_fixed</f>
        <v>3671.59741829209</v>
      </c>
      <c r="O13" s="36" t="n">
        <f aca="false">O9*IF(Growth!O21&lt;=2,pf_pct_early,pf_pct_late)+O12*pf_fixed</f>
        <v>4553.40610712915</v>
      </c>
      <c r="P13" s="36" t="n">
        <f aca="false">P9*IF(Growth!P21&lt;=2,pf_pct_early,pf_pct_late)+P12*pf_fixed</f>
        <v>5328.4175354294</v>
      </c>
      <c r="Q13" s="36" t="n">
        <f aca="false">Q9*IF(Growth!Q21&lt;=2,pf_pct_early,pf_pct_late)+Q12*pf_fixed</f>
        <v>6008.80161226472</v>
      </c>
      <c r="R13" s="36" t="n">
        <f aca="false">R9*IF(Growth!R21&lt;=2,pf_pct_early,pf_pct_late)+R12*pf_fixed</f>
        <v>7240.56538411154</v>
      </c>
      <c r="S13" s="36" t="n">
        <f aca="false">S9*IF(Growth!S21&lt;=2,pf_pct_early,pf_pct_late)+S12*pf_fixed</f>
        <v>8969.29233451802</v>
      </c>
      <c r="T13" s="36" t="n">
        <f aca="false">T9*IF(Growth!T21&lt;=2,pf_pct_early,pf_pct_late)+T12*pf_fixed</f>
        <v>10488.6258225684</v>
      </c>
      <c r="U13" s="36" t="n">
        <f aca="false">U9*IF(Growth!U21&lt;=2,pf_pct_early,pf_pct_late)+U12*pf_fixed</f>
        <v>11822.4270585063</v>
      </c>
      <c r="V13" s="36" t="n">
        <f aca="false">V9*IF(Growth!V21&lt;=2,pf_pct_early,pf_pct_late)+V12*pf_fixed</f>
        <v>13024.1635040053</v>
      </c>
      <c r="W13" s="36" t="n">
        <f aca="false">W9*IF(Growth!W21&lt;=2,pf_pct_early,pf_pct_late)+W12*pf_fixed</f>
        <v>14076.4259489781</v>
      </c>
      <c r="X13" s="36" t="n">
        <f aca="false">X9*IF(Growth!X21&lt;=2,pf_pct_early,pf_pct_late)+X12*pf_fixed</f>
        <v>14996.2661615559</v>
      </c>
      <c r="Y13" s="36" t="n">
        <f aca="false">Y9*IF(Growth!Y21&lt;=2,pf_pct_early,pf_pct_late)+Y12*pf_fixed</f>
        <v>15798.7978057603</v>
      </c>
      <c r="Z13" s="36" t="n">
        <f aca="false">Z9*IF(Growth!Z21&lt;=2,pf_pct_early,pf_pct_late)+Z12*pf_fixed</f>
        <v>16530.2739403081</v>
      </c>
      <c r="AA13" s="36" t="n">
        <f aca="false">AA9*IF(Growth!AA21&lt;=2,pf_pct_early,pf_pct_late)+AA12*pf_fixed</f>
        <v>17165.8099396786</v>
      </c>
      <c r="AB13" s="36" t="n">
        <f aca="false">AB9*IF(Growth!AB21&lt;=2,pf_pct_early,pf_pct_late)+AB12*pf_fixed</f>
        <v>17716.3734818751</v>
      </c>
      <c r="AC13" s="36" t="n">
        <f aca="false">AC9*IF(Growth!AC21&lt;=2,pf_pct_early,pf_pct_late)+AC12*pf_fixed</f>
        <v>18191.6855424711</v>
      </c>
    </row>
    <row r="14" customFormat="false" ht="15" hidden="false" customHeight="false" outlineLevel="0" collapsed="false">
      <c r="A14" s="4" t="s">
        <v>236</v>
      </c>
      <c r="B14" s="36" t="n">
        <f aca="false">B11-B13</f>
        <v>2731.47039177964</v>
      </c>
      <c r="C14" s="36" t="n">
        <f aca="false">C11-C13</f>
        <v>5350.54262637063</v>
      </c>
      <c r="D14" s="36" t="n">
        <f aca="false">D11-D13</f>
        <v>7861.65971381224</v>
      </c>
      <c r="E14" s="36" t="n">
        <f aca="false">E11-E13</f>
        <v>10269.0893304994</v>
      </c>
      <c r="F14" s="36" t="n">
        <f aca="false">F11-F13</f>
        <v>12576.9307378428</v>
      </c>
      <c r="G14" s="36" t="n">
        <f aca="false">G11-G13</f>
        <v>14789.1214279195</v>
      </c>
      <c r="H14" s="36" t="n">
        <f aca="false">H11-H13</f>
        <v>16909.4435068879</v>
      </c>
      <c r="I14" s="36" t="n">
        <f aca="false">I11-I13</f>
        <v>18941.5298265129</v>
      </c>
      <c r="J14" s="36" t="n">
        <f aca="false">J11-J13</f>
        <v>20888.8698737434</v>
      </c>
      <c r="K14" s="36" t="n">
        <f aca="false">K11-K13</f>
        <v>22754.8154278867</v>
      </c>
      <c r="L14" s="36" t="n">
        <f aca="false">L11-L13</f>
        <v>24542.5859945527</v>
      </c>
      <c r="M14" s="36" t="n">
        <f aca="false">M11-M13</f>
        <v>26255.2740251749</v>
      </c>
      <c r="N14" s="36" t="n">
        <f aca="false">N11-N13</f>
        <v>93732.6082254185</v>
      </c>
      <c r="O14" s="36" t="n">
        <f aca="false">O11-O13</f>
        <v>116244.397766599</v>
      </c>
      <c r="P14" s="36" t="n">
        <f aca="false">P11-P13</f>
        <v>136029.748474488</v>
      </c>
      <c r="Q14" s="36" t="n">
        <f aca="false">Q11-Q13</f>
        <v>153399.347276114</v>
      </c>
      <c r="R14" s="36" t="n">
        <f aca="false">R11-R13</f>
        <v>211544.35473341</v>
      </c>
      <c r="S14" s="36" t="n">
        <f aca="false">S11-S13</f>
        <v>262051.79549715</v>
      </c>
      <c r="T14" s="36" t="n">
        <f aca="false">T11-T13</f>
        <v>306441.481288782</v>
      </c>
      <c r="U14" s="36" t="n">
        <f aca="false">U11-U13</f>
        <v>345410.554397114</v>
      </c>
      <c r="V14" s="36" t="n">
        <f aca="false">V11-V13</f>
        <v>380521.149694073</v>
      </c>
      <c r="W14" s="36" t="n">
        <f aca="false">W11-W13</f>
        <v>411264.630088636</v>
      </c>
      <c r="X14" s="36" t="n">
        <f aca="false">X11-X13</f>
        <v>438139.189450341</v>
      </c>
      <c r="Y14" s="36" t="n">
        <f aca="false">Y11-Y13</f>
        <v>461586.396929317</v>
      </c>
      <c r="Z14" s="36" t="n">
        <f aca="false">Z11-Z13</f>
        <v>482957.607418674</v>
      </c>
      <c r="AA14" s="36" t="n">
        <f aca="false">AA11-AA13</f>
        <v>501525.77796399</v>
      </c>
      <c r="AB14" s="36" t="n">
        <f aca="false">AB11-AB13</f>
        <v>517611.346299478</v>
      </c>
      <c r="AC14" s="36" t="n">
        <f aca="false">AC11-AC13</f>
        <v>531498.325813042</v>
      </c>
    </row>
    <row r="15" customFormat="false" ht="15" hidden="false" customHeight="false" outlineLevel="0" collapsed="false">
      <c r="A15" s="4" t="s">
        <v>237</v>
      </c>
      <c r="B15" s="37" t="n">
        <f aca="false">B9/fx</f>
        <v>148.633474567047</v>
      </c>
      <c r="C15" s="37" t="n">
        <f aca="false">C9/fx</f>
        <v>291.150782292909</v>
      </c>
      <c r="D15" s="37" t="n">
        <f aca="false">D9/fx</f>
        <v>427.793690403641</v>
      </c>
      <c r="E15" s="37" t="n">
        <f aca="false">E9/fx</f>
        <v>558.794425312099</v>
      </c>
      <c r="F15" s="37" t="n">
        <f aca="false">F9/fx</f>
        <v>684.376049098128</v>
      </c>
      <c r="G15" s="37" t="n">
        <f aca="false">G9/fx</f>
        <v>804.752821132899</v>
      </c>
      <c r="H15" s="37" t="n">
        <f aca="false">H9/fx</f>
        <v>920.130545433605</v>
      </c>
      <c r="I15" s="37" t="n">
        <f aca="false">I9/fx</f>
        <v>1030.7069043116</v>
      </c>
      <c r="J15" s="37" t="n">
        <f aca="false">J9/fx</f>
        <v>1136.6717788548</v>
      </c>
      <c r="K15" s="37" t="n">
        <f aca="false">K9/fx</f>
        <v>1238.20755676399</v>
      </c>
      <c r="L15" s="37" t="n">
        <f aca="false">L9/fx</f>
        <v>1335.48942804181</v>
      </c>
      <c r="M15" s="37" t="n">
        <f aca="false">M9/fx</f>
        <v>1428.68566901402</v>
      </c>
      <c r="N15" s="37" t="n">
        <f aca="false">N9/fx</f>
        <v>5895.51771001406</v>
      </c>
      <c r="O15" s="37" t="n">
        <f aca="false">O9/fx</f>
        <v>7311.4460239362</v>
      </c>
      <c r="P15" s="37" t="n">
        <f aca="false">P9/fx</f>
        <v>8555.88899533713</v>
      </c>
      <c r="Q15" s="37" t="n">
        <f aca="false">Q9/fx</f>
        <v>9648.38795903344</v>
      </c>
      <c r="R15" s="37" t="n">
        <f aca="false">R9/fx</f>
        <v>13242.2451650079</v>
      </c>
      <c r="S15" s="37" t="n">
        <f aca="false">S9/fx</f>
        <v>16403.9079477062</v>
      </c>
      <c r="T15" s="37" t="n">
        <f aca="false">T9/fx</f>
        <v>19182.6117462133</v>
      </c>
      <c r="U15" s="37" t="n">
        <f aca="false">U9/fx</f>
        <v>21621.9962459981</v>
      </c>
      <c r="V15" s="37" t="n">
        <f aca="false">V9/fx</f>
        <v>23819.8479040942</v>
      </c>
      <c r="W15" s="37" t="n">
        <f aca="false">W9/fx</f>
        <v>25744.3270759608</v>
      </c>
      <c r="X15" s="37" t="n">
        <f aca="false">X9/fx</f>
        <v>27426.6196817727</v>
      </c>
      <c r="Y15" s="37" t="n">
        <f aca="false">Y9/fx</f>
        <v>28894.3670497547</v>
      </c>
      <c r="Z15" s="37" t="n">
        <f aca="false">Z9/fx</f>
        <v>30232.1612401489</v>
      </c>
      <c r="AA15" s="37" t="n">
        <f aca="false">AA9/fx</f>
        <v>31394.490846801</v>
      </c>
      <c r="AB15" s="37" t="n">
        <f aca="false">AB9/fx</f>
        <v>32401.4146183451</v>
      </c>
      <c r="AC15" s="37" t="n">
        <f aca="false">AC9/fx</f>
        <v>33270.7112136232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9" min="2" style="0" width="11"/>
  </cols>
  <sheetData>
    <row r="1" customFormat="false" ht="15" hidden="false" customHeight="false" outlineLevel="0" collapsed="false">
      <c r="A1" s="30" t="s">
        <v>238</v>
      </c>
    </row>
    <row r="4" customFormat="false" ht="15" hidden="false" customHeight="false" outlineLevel="0" collapsed="false">
      <c r="A4" s="32" t="s">
        <v>178</v>
      </c>
      <c r="B4" s="10" t="s">
        <v>179</v>
      </c>
      <c r="C4" s="10" t="s">
        <v>180</v>
      </c>
      <c r="D4" s="10" t="s">
        <v>181</v>
      </c>
      <c r="E4" s="10" t="s">
        <v>182</v>
      </c>
      <c r="F4" s="10" t="s">
        <v>183</v>
      </c>
      <c r="G4" s="10" t="s">
        <v>184</v>
      </c>
      <c r="H4" s="10" t="s">
        <v>185</v>
      </c>
      <c r="I4" s="10" t="s">
        <v>186</v>
      </c>
      <c r="J4" s="10" t="s">
        <v>187</v>
      </c>
      <c r="K4" s="10" t="s">
        <v>188</v>
      </c>
      <c r="L4" s="10" t="s">
        <v>189</v>
      </c>
      <c r="M4" s="10" t="s">
        <v>190</v>
      </c>
      <c r="N4" s="10" t="s">
        <v>191</v>
      </c>
      <c r="O4" s="10" t="s">
        <v>192</v>
      </c>
      <c r="P4" s="10" t="s">
        <v>193</v>
      </c>
      <c r="Q4" s="10" t="s">
        <v>194</v>
      </c>
      <c r="R4" s="10" t="s">
        <v>195</v>
      </c>
      <c r="S4" s="10" t="s">
        <v>196</v>
      </c>
      <c r="T4" s="10" t="s">
        <v>197</v>
      </c>
      <c r="U4" s="10" t="s">
        <v>198</v>
      </c>
      <c r="V4" s="10" t="s">
        <v>199</v>
      </c>
      <c r="W4" s="10" t="s">
        <v>200</v>
      </c>
      <c r="X4" s="10" t="s">
        <v>201</v>
      </c>
      <c r="Y4" s="10" t="s">
        <v>202</v>
      </c>
      <c r="Z4" s="10" t="s">
        <v>203</v>
      </c>
      <c r="AA4" s="10" t="s">
        <v>204</v>
      </c>
      <c r="AB4" s="10" t="s">
        <v>205</v>
      </c>
      <c r="AC4" s="10" t="s">
        <v>206</v>
      </c>
    </row>
    <row r="5" customFormat="false" ht="15" hidden="false" customHeight="false" outlineLevel="0" collapsed="false">
      <c r="A5" s="4" t="s">
        <v>239</v>
      </c>
      <c r="B5" s="33" t="n">
        <f aca="false">Growth!B17</f>
        <v>2.34474296875</v>
      </c>
      <c r="C5" s="33" t="n">
        <f aca="false">Growth!C17</f>
        <v>4.59300135192232</v>
      </c>
      <c r="D5" s="33" t="n">
        <f aca="false">Growth!D17</f>
        <v>6.74858910868747</v>
      </c>
      <c r="E5" s="33" t="n">
        <f aca="false">Growth!E17</f>
        <v>8.81516968868414</v>
      </c>
      <c r="F5" s="33" t="n">
        <f aca="false">Growth!F17</f>
        <v>10.7962619711206</v>
      </c>
      <c r="G5" s="33" t="n">
        <f aca="false">Growth!G17</f>
        <v>12.6952459695202</v>
      </c>
      <c r="H5" s="33" t="n">
        <f aca="false">Growth!H17</f>
        <v>14.515368311358</v>
      </c>
      <c r="I5" s="33" t="n">
        <f aca="false">Growth!I17</f>
        <v>16.2597475014723</v>
      </c>
      <c r="J5" s="33" t="n">
        <f aca="false">Growth!J17</f>
        <v>17.9313789777828</v>
      </c>
      <c r="K5" s="33" t="n">
        <f aca="false">Growth!K17</f>
        <v>19.5331399675101</v>
      </c>
      <c r="L5" s="33" t="n">
        <f aca="false">Growth!L17</f>
        <v>21.0677941517706</v>
      </c>
      <c r="M5" s="33" t="n">
        <f aca="false">Growth!M17</f>
        <v>22.5379961461064</v>
      </c>
      <c r="N5" s="33" t="n">
        <f aca="false">Growth!N17</f>
        <v>31.0012571483035</v>
      </c>
      <c r="O5" s="33" t="n">
        <f aca="false">Growth!O17</f>
        <v>38.4468386769457</v>
      </c>
      <c r="P5" s="33" t="n">
        <f aca="false">Growth!P17</f>
        <v>44.9906739193145</v>
      </c>
      <c r="Q5" s="33" t="n">
        <f aca="false">Growth!Q17</f>
        <v>50.7355199148197</v>
      </c>
      <c r="R5" s="33" t="n">
        <f aca="false">Growth!R17</f>
        <v>69.6336212991054</v>
      </c>
      <c r="S5" s="33" t="n">
        <f aca="false">Growth!S17</f>
        <v>86.2590519675882</v>
      </c>
      <c r="T5" s="33" t="n">
        <f aca="false">Growth!T17</f>
        <v>100.870713781472</v>
      </c>
      <c r="U5" s="33" t="n">
        <f aca="false">Growth!U17</f>
        <v>113.69808363789</v>
      </c>
      <c r="V5" s="33" t="n">
        <f aca="false">Growth!V17</f>
        <v>125.255366268172</v>
      </c>
      <c r="W5" s="33" t="n">
        <f aca="false">Growth!W17</f>
        <v>135.37513464445</v>
      </c>
      <c r="X5" s="33" t="n">
        <f aca="false">Growth!X17</f>
        <v>144.221378220799</v>
      </c>
      <c r="Y5" s="33" t="n">
        <f aca="false">Growth!Y17</f>
        <v>151.939447408559</v>
      </c>
      <c r="Z5" s="33" t="n">
        <f aca="false">Growth!Z17</f>
        <v>158.974164925813</v>
      </c>
      <c r="AA5" s="33" t="n">
        <f aca="false">Growth!AA17</f>
        <v>165.086211534664</v>
      </c>
      <c r="AB5" s="33" t="n">
        <f aca="false">Growth!AB17</f>
        <v>170.381065066756</v>
      </c>
      <c r="AC5" s="33" t="n">
        <f aca="false">Growth!AC17</f>
        <v>174.952213626378</v>
      </c>
    </row>
    <row r="6" customFormat="false" ht="15" hidden="false" customHeight="false" outlineLevel="0" collapsed="false">
      <c r="A6" s="4" t="s">
        <v>240</v>
      </c>
      <c r="B6" s="36" t="n">
        <f aca="false">supabase_base*fx*1</f>
        <v>475</v>
      </c>
      <c r="C6" s="36" t="n">
        <f aca="false">supabase_base*fx*1</f>
        <v>475</v>
      </c>
      <c r="D6" s="36" t="n">
        <f aca="false">supabase_base*fx*1</f>
        <v>475</v>
      </c>
      <c r="E6" s="36" t="n">
        <f aca="false">supabase_base*fx*1</f>
        <v>475</v>
      </c>
      <c r="F6" s="36" t="n">
        <f aca="false">supabase_base*fx*1</f>
        <v>475</v>
      </c>
      <c r="G6" s="36" t="n">
        <f aca="false">supabase_base*fx*1</f>
        <v>475</v>
      </c>
      <c r="H6" s="36" t="n">
        <f aca="false">supabase_base*fx*1</f>
        <v>475</v>
      </c>
      <c r="I6" s="36" t="n">
        <f aca="false">supabase_base*fx*1</f>
        <v>475</v>
      </c>
      <c r="J6" s="36" t="n">
        <f aca="false">supabase_base*fx*1</f>
        <v>475</v>
      </c>
      <c r="K6" s="36" t="n">
        <f aca="false">supabase_base*fx*1</f>
        <v>475</v>
      </c>
      <c r="L6" s="36" t="n">
        <f aca="false">supabase_base*fx*1</f>
        <v>475</v>
      </c>
      <c r="M6" s="36" t="n">
        <f aca="false">supabase_base*fx*1</f>
        <v>475</v>
      </c>
      <c r="N6" s="36" t="n">
        <f aca="false">supabase_base*fx*3</f>
        <v>1425</v>
      </c>
      <c r="O6" s="36" t="n">
        <f aca="false">supabase_base*fx*3</f>
        <v>1425</v>
      </c>
      <c r="P6" s="36" t="n">
        <f aca="false">supabase_base*fx*3</f>
        <v>1425</v>
      </c>
      <c r="Q6" s="36" t="n">
        <f aca="false">supabase_base*fx*3</f>
        <v>1425</v>
      </c>
      <c r="R6" s="36" t="n">
        <f aca="false">supabase_base*fx*3</f>
        <v>1425</v>
      </c>
      <c r="S6" s="36" t="n">
        <f aca="false">supabase_base*fx*3</f>
        <v>1425</v>
      </c>
      <c r="T6" s="36" t="n">
        <f aca="false">supabase_base*fx*3</f>
        <v>1425</v>
      </c>
      <c r="U6" s="36" t="n">
        <f aca="false">supabase_base*fx*3</f>
        <v>1425</v>
      </c>
      <c r="V6" s="36" t="n">
        <f aca="false">supabase_base*fx*3</f>
        <v>1425</v>
      </c>
      <c r="W6" s="36" t="n">
        <f aca="false">supabase_base*fx*3</f>
        <v>1425</v>
      </c>
      <c r="X6" s="36" t="n">
        <f aca="false">supabase_base*fx*3</f>
        <v>1425</v>
      </c>
      <c r="Y6" s="36" t="n">
        <f aca="false">supabase_base*fx*3</f>
        <v>1425</v>
      </c>
      <c r="Z6" s="36" t="n">
        <f aca="false">supabase_base*fx*3</f>
        <v>1425</v>
      </c>
      <c r="AA6" s="36" t="n">
        <f aca="false">supabase_base*fx*3</f>
        <v>1425</v>
      </c>
      <c r="AB6" s="36" t="n">
        <f aca="false">supabase_base*fx*3</f>
        <v>1425</v>
      </c>
      <c r="AC6" s="36" t="n">
        <f aca="false">supabase_base*fx*3</f>
        <v>1425</v>
      </c>
    </row>
    <row r="7" customFormat="false" ht="15" hidden="false" customHeight="false" outlineLevel="0" collapsed="false">
      <c r="A7" s="4" t="s">
        <v>241</v>
      </c>
      <c r="B7" s="36" t="n">
        <f aca="false">B5*egress_mb/1024*supabase_bw*fx*1</f>
        <v>1.95776878738403</v>
      </c>
      <c r="C7" s="36" t="n">
        <f aca="false">C5*egress_mb/1024*supabase_bw*fx*1</f>
        <v>3.83497671473983</v>
      </c>
      <c r="D7" s="36" t="n">
        <f aca="false">D5*egress_mb/1024*supabase_bw*fx*1</f>
        <v>5.63480828899198</v>
      </c>
      <c r="E7" s="36" t="n">
        <f aca="false">E5*egress_mb/1024*supabase_bw*fx*1</f>
        <v>7.3603223474853</v>
      </c>
      <c r="F7" s="36" t="n">
        <f aca="false">F5*egress_mb/1024*supabase_bw*fx*1</f>
        <v>9.01445701690249</v>
      </c>
      <c r="G7" s="36" t="n">
        <f aca="false">G5*egress_mb/1024*supabase_bw*fx*1</f>
        <v>10.6000344765037</v>
      </c>
      <c r="H7" s="36" t="n">
        <f aca="false">H5*egress_mb/1024*supabase_bw*fx*1</f>
        <v>12.1197655334092</v>
      </c>
      <c r="I7" s="36" t="n">
        <f aca="false">I5*egress_mb/1024*supabase_bw*fx*1</f>
        <v>13.5762540173426</v>
      </c>
      <c r="J7" s="36" t="n">
        <f aca="false">J5*egress_mb/1024*supabase_bw*fx*1</f>
        <v>14.9720010019573</v>
      </c>
      <c r="K7" s="36" t="n">
        <f aca="false">K5*egress_mb/1024*supabase_bw*fx*1</f>
        <v>16.3094088595909</v>
      </c>
      <c r="L7" s="36" t="n">
        <f aca="false">L5*egress_mb/1024*supabase_bw*fx*1</f>
        <v>17.5907851560194</v>
      </c>
      <c r="M7" s="36" t="n">
        <f aca="false">M5*egress_mb/1024*supabase_bw*fx*1</f>
        <v>18.8183463915244</v>
      </c>
      <c r="N7" s="36" t="n">
        <f aca="false">N5*egress_mb/1024*supabase_bw*fx*3</f>
        <v>77.6545161966781</v>
      </c>
      <c r="O7" s="36" t="n">
        <f aca="false">O5*egress_mb/1024*supabase_bw*fx*3</f>
        <v>96.3048253968416</v>
      </c>
      <c r="P7" s="36" t="n">
        <f aca="false">P5*egress_mb/1024*supabase_bw*fx*3</f>
        <v>112.696365823283</v>
      </c>
      <c r="Q7" s="36" t="n">
        <f aca="false">Q5*egress_mb/1024*supabase_bw*fx*3</f>
        <v>127.086531817883</v>
      </c>
      <c r="R7" s="36" t="n">
        <f aca="false">R5*egress_mb/1024*supabase_bw*fx*3</f>
        <v>174.424061164263</v>
      </c>
      <c r="S7" s="36" t="n">
        <f aca="false">S5*egress_mb/1024*supabase_bw*fx*3</f>
        <v>216.068816696156</v>
      </c>
      <c r="T7" s="36" t="n">
        <f aca="false">T5*egress_mb/1024*supabase_bw*fx*3</f>
        <v>252.669317235815</v>
      </c>
      <c r="U7" s="36" t="n">
        <f aca="false">U5*egress_mb/1024*supabase_bw*fx*3</f>
        <v>284.800375518738</v>
      </c>
      <c r="V7" s="36" t="n">
        <f aca="false">V5*egress_mb/1024*supabase_bw*fx*3</f>
        <v>313.750014138535</v>
      </c>
      <c r="W7" s="36" t="n">
        <f aca="false">W5*egress_mb/1024*supabase_bw*fx*3</f>
        <v>339.098848010756</v>
      </c>
      <c r="X7" s="36" t="n">
        <f aca="false">X5*egress_mb/1024*supabase_bw*fx*3</f>
        <v>361.257651500341</v>
      </c>
      <c r="Y7" s="36" t="n">
        <f aca="false">Y5*egress_mb/1024*supabase_bw*fx*3</f>
        <v>380.590510354448</v>
      </c>
      <c r="Z7" s="36" t="n">
        <f aca="false">Z5*egress_mb/1024*supabase_bw*fx*3</f>
        <v>398.21165335421</v>
      </c>
      <c r="AA7" s="36" t="n">
        <f aca="false">AA5*egress_mb/1024*supabase_bw*fx*3</f>
        <v>413.521613853918</v>
      </c>
      <c r="AB7" s="36" t="n">
        <f aca="false">AB5*egress_mb/1024*supabase_bw*fx*3</f>
        <v>426.78460146116</v>
      </c>
      <c r="AC7" s="36" t="n">
        <f aca="false">AC5*egress_mb/1024*supabase_bw*fx*3</f>
        <v>438.234792921543</v>
      </c>
    </row>
    <row r="8" customFormat="false" ht="15" hidden="false" customHeight="false" outlineLevel="0" collapsed="false">
      <c r="A8" s="4" t="s">
        <v>242</v>
      </c>
      <c r="B8" s="36" t="n">
        <f aca="false">vercel_base*fx*1</f>
        <v>380</v>
      </c>
      <c r="C8" s="36" t="n">
        <f aca="false">vercel_base*fx*1</f>
        <v>380</v>
      </c>
      <c r="D8" s="36" t="n">
        <f aca="false">vercel_base*fx*1</f>
        <v>380</v>
      </c>
      <c r="E8" s="36" t="n">
        <f aca="false">vercel_base*fx*1</f>
        <v>380</v>
      </c>
      <c r="F8" s="36" t="n">
        <f aca="false">vercel_base*fx*1</f>
        <v>380</v>
      </c>
      <c r="G8" s="36" t="n">
        <f aca="false">vercel_base*fx*1</f>
        <v>380</v>
      </c>
      <c r="H8" s="36" t="n">
        <f aca="false">vercel_base*fx*1</f>
        <v>380</v>
      </c>
      <c r="I8" s="36" t="n">
        <f aca="false">vercel_base*fx*1</f>
        <v>380</v>
      </c>
      <c r="J8" s="36" t="n">
        <f aca="false">vercel_base*fx*1</f>
        <v>380</v>
      </c>
      <c r="K8" s="36" t="n">
        <f aca="false">vercel_base*fx*1</f>
        <v>380</v>
      </c>
      <c r="L8" s="36" t="n">
        <f aca="false">vercel_base*fx*1</f>
        <v>380</v>
      </c>
      <c r="M8" s="36" t="n">
        <f aca="false">vercel_base*fx*1</f>
        <v>380</v>
      </c>
      <c r="N8" s="36" t="n">
        <f aca="false">vercel_base*fx*3</f>
        <v>1140</v>
      </c>
      <c r="O8" s="36" t="n">
        <f aca="false">vercel_base*fx*3</f>
        <v>1140</v>
      </c>
      <c r="P8" s="36" t="n">
        <f aca="false">vercel_base*fx*3</f>
        <v>1140</v>
      </c>
      <c r="Q8" s="36" t="n">
        <f aca="false">vercel_base*fx*3</f>
        <v>1140</v>
      </c>
      <c r="R8" s="36" t="n">
        <f aca="false">vercel_base*fx*3</f>
        <v>1140</v>
      </c>
      <c r="S8" s="36" t="n">
        <f aca="false">vercel_base*fx*3</f>
        <v>1140</v>
      </c>
      <c r="T8" s="36" t="n">
        <f aca="false">vercel_base*fx*3</f>
        <v>1140</v>
      </c>
      <c r="U8" s="36" t="n">
        <f aca="false">vercel_base*fx*3</f>
        <v>1140</v>
      </c>
      <c r="V8" s="36" t="n">
        <f aca="false">vercel_base*fx*3</f>
        <v>1140</v>
      </c>
      <c r="W8" s="36" t="n">
        <f aca="false">vercel_base*fx*3</f>
        <v>1140</v>
      </c>
      <c r="X8" s="36" t="n">
        <f aca="false">vercel_base*fx*3</f>
        <v>1140</v>
      </c>
      <c r="Y8" s="36" t="n">
        <f aca="false">vercel_base*fx*3</f>
        <v>1140</v>
      </c>
      <c r="Z8" s="36" t="n">
        <f aca="false">vercel_base*fx*3</f>
        <v>1140</v>
      </c>
      <c r="AA8" s="36" t="n">
        <f aca="false">vercel_base*fx*3</f>
        <v>1140</v>
      </c>
      <c r="AB8" s="36" t="n">
        <f aca="false">vercel_base*fx*3</f>
        <v>1140</v>
      </c>
      <c r="AC8" s="36" t="n">
        <f aca="false">vercel_base*fx*3</f>
        <v>1140</v>
      </c>
    </row>
    <row r="9" customFormat="false" ht="15" hidden="false" customHeight="false" outlineLevel="0" collapsed="false">
      <c r="A9" s="4" t="s">
        <v>243</v>
      </c>
      <c r="B9" s="36" t="n">
        <f aca="false">(domain_yr+apple_dev_yr*fx)/12*1</f>
        <v>177.583333333333</v>
      </c>
      <c r="C9" s="36" t="n">
        <f aca="false">(domain_yr+apple_dev_yr*fx)/12*1</f>
        <v>177.583333333333</v>
      </c>
      <c r="D9" s="36" t="n">
        <f aca="false">(domain_yr+apple_dev_yr*fx)/12*1</f>
        <v>177.583333333333</v>
      </c>
      <c r="E9" s="36" t="n">
        <f aca="false">(domain_yr+apple_dev_yr*fx)/12*1</f>
        <v>177.583333333333</v>
      </c>
      <c r="F9" s="36" t="n">
        <f aca="false">(domain_yr+apple_dev_yr*fx)/12*1</f>
        <v>177.583333333333</v>
      </c>
      <c r="G9" s="36" t="n">
        <f aca="false">(domain_yr+apple_dev_yr*fx)/12*1</f>
        <v>177.583333333333</v>
      </c>
      <c r="H9" s="36" t="n">
        <f aca="false">(domain_yr+apple_dev_yr*fx)/12*1</f>
        <v>177.583333333333</v>
      </c>
      <c r="I9" s="36" t="n">
        <f aca="false">(domain_yr+apple_dev_yr*fx)/12*1</f>
        <v>177.583333333333</v>
      </c>
      <c r="J9" s="36" t="n">
        <f aca="false">(domain_yr+apple_dev_yr*fx)/12*1</f>
        <v>177.583333333333</v>
      </c>
      <c r="K9" s="36" t="n">
        <f aca="false">(domain_yr+apple_dev_yr*fx)/12*1</f>
        <v>177.583333333333</v>
      </c>
      <c r="L9" s="36" t="n">
        <f aca="false">(domain_yr+apple_dev_yr*fx)/12*1</f>
        <v>177.583333333333</v>
      </c>
      <c r="M9" s="36" t="n">
        <f aca="false">(domain_yr+apple_dev_yr*fx)/12*1</f>
        <v>177.583333333333</v>
      </c>
      <c r="N9" s="36" t="n">
        <f aca="false">(domain_yr+apple_dev_yr*fx)/12*3</f>
        <v>532.75</v>
      </c>
      <c r="O9" s="36" t="n">
        <f aca="false">(domain_yr+apple_dev_yr*fx)/12*3</f>
        <v>532.75</v>
      </c>
      <c r="P9" s="36" t="n">
        <f aca="false">(domain_yr+apple_dev_yr*fx)/12*3</f>
        <v>532.75</v>
      </c>
      <c r="Q9" s="36" t="n">
        <f aca="false">(domain_yr+apple_dev_yr*fx)/12*3</f>
        <v>532.75</v>
      </c>
      <c r="R9" s="36" t="n">
        <f aca="false">(domain_yr+apple_dev_yr*fx)/12*3</f>
        <v>532.75</v>
      </c>
      <c r="S9" s="36" t="n">
        <f aca="false">(domain_yr+apple_dev_yr*fx)/12*3</f>
        <v>532.75</v>
      </c>
      <c r="T9" s="36" t="n">
        <f aca="false">(domain_yr+apple_dev_yr*fx)/12*3</f>
        <v>532.75</v>
      </c>
      <c r="U9" s="36" t="n">
        <f aca="false">(domain_yr+apple_dev_yr*fx)/12*3</f>
        <v>532.75</v>
      </c>
      <c r="V9" s="36" t="n">
        <f aca="false">(domain_yr+apple_dev_yr*fx)/12*3</f>
        <v>532.75</v>
      </c>
      <c r="W9" s="36" t="n">
        <f aca="false">(domain_yr+apple_dev_yr*fx)/12*3</f>
        <v>532.75</v>
      </c>
      <c r="X9" s="36" t="n">
        <f aca="false">(domain_yr+apple_dev_yr*fx)/12*3</f>
        <v>532.75</v>
      </c>
      <c r="Y9" s="36" t="n">
        <f aca="false">(domain_yr+apple_dev_yr*fx)/12*3</f>
        <v>532.75</v>
      </c>
      <c r="Z9" s="36" t="n">
        <f aca="false">(domain_yr+apple_dev_yr*fx)/12*3</f>
        <v>532.75</v>
      </c>
      <c r="AA9" s="36" t="n">
        <f aca="false">(domain_yr+apple_dev_yr*fx)/12*3</f>
        <v>532.75</v>
      </c>
      <c r="AB9" s="36" t="n">
        <f aca="false">(domain_yr+apple_dev_yr*fx)/12*3</f>
        <v>532.75</v>
      </c>
      <c r="AC9" s="36" t="n">
        <f aca="false">(domain_yr+apple_dev_yr*fx)/12*3</f>
        <v>532.75</v>
      </c>
    </row>
    <row r="10" customFormat="false" ht="15" hidden="false" customHeight="false" outlineLevel="0" collapsed="false">
      <c r="A10" s="4" t="s">
        <v>244</v>
      </c>
      <c r="B10" s="36" t="n">
        <f aca="false">SUM(B6:B9)</f>
        <v>1034.54110212072</v>
      </c>
      <c r="C10" s="36" t="n">
        <f aca="false">SUM(C6:C9)</f>
        <v>1036.41831004807</v>
      </c>
      <c r="D10" s="36" t="n">
        <f aca="false">SUM(D6:D9)</f>
        <v>1038.21814162233</v>
      </c>
      <c r="E10" s="36" t="n">
        <f aca="false">SUM(E6:E9)</f>
        <v>1039.94365568082</v>
      </c>
      <c r="F10" s="36" t="n">
        <f aca="false">SUM(F6:F9)</f>
        <v>1041.59779035024</v>
      </c>
      <c r="G10" s="36" t="n">
        <f aca="false">SUM(G6:G9)</f>
        <v>1043.18336780984</v>
      </c>
      <c r="H10" s="36" t="n">
        <f aca="false">SUM(H6:H9)</f>
        <v>1044.70309886674</v>
      </c>
      <c r="I10" s="36" t="n">
        <f aca="false">SUM(I6:I9)</f>
        <v>1046.15958735068</v>
      </c>
      <c r="J10" s="36" t="n">
        <f aca="false">SUM(J6:J9)</f>
        <v>1047.55533433529</v>
      </c>
      <c r="K10" s="36" t="n">
        <f aca="false">SUM(K6:K9)</f>
        <v>1048.89274219292</v>
      </c>
      <c r="L10" s="36" t="n">
        <f aca="false">SUM(L6:L9)</f>
        <v>1050.17411848935</v>
      </c>
      <c r="M10" s="36" t="n">
        <f aca="false">SUM(M6:M9)</f>
        <v>1051.40167972486</v>
      </c>
      <c r="N10" s="36" t="n">
        <f aca="false">SUM(N6:N9)</f>
        <v>3175.40451619668</v>
      </c>
      <c r="O10" s="36" t="n">
        <f aca="false">SUM(O6:O9)</f>
        <v>3194.05482539684</v>
      </c>
      <c r="P10" s="36" t="n">
        <f aca="false">SUM(P6:P9)</f>
        <v>3210.44636582328</v>
      </c>
      <c r="Q10" s="36" t="n">
        <f aca="false">SUM(Q6:Q9)</f>
        <v>3224.83653181788</v>
      </c>
      <c r="R10" s="36" t="n">
        <f aca="false">SUM(R6:R9)</f>
        <v>3272.17406116426</v>
      </c>
      <c r="S10" s="36" t="n">
        <f aca="false">SUM(S6:S9)</f>
        <v>3313.81881669616</v>
      </c>
      <c r="T10" s="36" t="n">
        <f aca="false">SUM(T6:T9)</f>
        <v>3350.41931723582</v>
      </c>
      <c r="U10" s="36" t="n">
        <f aca="false">SUM(U6:U9)</f>
        <v>3382.55037551874</v>
      </c>
      <c r="V10" s="36" t="n">
        <f aca="false">SUM(V6:V9)</f>
        <v>3411.50001413854</v>
      </c>
      <c r="W10" s="36" t="n">
        <f aca="false">SUM(W6:W9)</f>
        <v>3436.84884801076</v>
      </c>
      <c r="X10" s="36" t="n">
        <f aca="false">SUM(X6:X9)</f>
        <v>3459.00765150034</v>
      </c>
      <c r="Y10" s="36" t="n">
        <f aca="false">SUM(Y6:Y9)</f>
        <v>3478.34051035445</v>
      </c>
      <c r="Z10" s="36" t="n">
        <f aca="false">SUM(Z6:Z9)</f>
        <v>3495.96165335421</v>
      </c>
      <c r="AA10" s="36" t="n">
        <f aca="false">SUM(AA6:AA9)</f>
        <v>3511.27161385392</v>
      </c>
      <c r="AB10" s="36" t="n">
        <f aca="false">SUM(AB6:AB9)</f>
        <v>3524.53460146116</v>
      </c>
      <c r="AC10" s="36" t="n">
        <f aca="false">SUM(AC6:AC9)</f>
        <v>3535.98479292154</v>
      </c>
    </row>
    <row r="11" customFormat="false" ht="15" hidden="false" customHeight="false" outlineLevel="0" collapsed="false">
      <c r="A11" s="4" t="s">
        <v>245</v>
      </c>
      <c r="B11" s="36" t="n">
        <f aca="false">mkt_floor*(1+mkt_growth)^(Growth!B21-1)*1</f>
        <v>5000</v>
      </c>
      <c r="C11" s="36" t="n">
        <f aca="false">mkt_floor*(1+mkt_growth)^(Growth!C21-1)*1</f>
        <v>5000</v>
      </c>
      <c r="D11" s="36" t="n">
        <f aca="false">mkt_floor*(1+mkt_growth)^(Growth!D21-1)*1</f>
        <v>5000</v>
      </c>
      <c r="E11" s="36" t="n">
        <f aca="false">mkt_floor*(1+mkt_growth)^(Growth!E21-1)*1</f>
        <v>5000</v>
      </c>
      <c r="F11" s="36" t="n">
        <f aca="false">mkt_floor*(1+mkt_growth)^(Growth!F21-1)*1</f>
        <v>5000</v>
      </c>
      <c r="G11" s="36" t="n">
        <f aca="false">mkt_floor*(1+mkt_growth)^(Growth!G21-1)*1</f>
        <v>5000</v>
      </c>
      <c r="H11" s="36" t="n">
        <f aca="false">mkt_floor*(1+mkt_growth)^(Growth!H21-1)*1</f>
        <v>5000</v>
      </c>
      <c r="I11" s="36" t="n">
        <f aca="false">mkt_floor*(1+mkt_growth)^(Growth!I21-1)*1</f>
        <v>5000</v>
      </c>
      <c r="J11" s="36" t="n">
        <f aca="false">mkt_floor*(1+mkt_growth)^(Growth!J21-1)*1</f>
        <v>5000</v>
      </c>
      <c r="K11" s="36" t="n">
        <f aca="false">mkt_floor*(1+mkt_growth)^(Growth!K21-1)*1</f>
        <v>5000</v>
      </c>
      <c r="L11" s="36" t="n">
        <f aca="false">mkt_floor*(1+mkt_growth)^(Growth!L21-1)*1</f>
        <v>5000</v>
      </c>
      <c r="M11" s="36" t="n">
        <f aca="false">mkt_floor*(1+mkt_growth)^(Growth!M21-1)*1</f>
        <v>5000</v>
      </c>
      <c r="N11" s="36" t="n">
        <f aca="false">mkt_floor*(1+mkt_growth)^(Growth!N21-1)*3</f>
        <v>21000</v>
      </c>
      <c r="O11" s="36" t="n">
        <f aca="false">mkt_floor*(1+mkt_growth)^(Growth!O21-1)*3</f>
        <v>21000</v>
      </c>
      <c r="P11" s="36" t="n">
        <f aca="false">mkt_floor*(1+mkt_growth)^(Growth!P21-1)*3</f>
        <v>21000</v>
      </c>
      <c r="Q11" s="36" t="n">
        <f aca="false">mkt_floor*(1+mkt_growth)^(Growth!Q21-1)*3</f>
        <v>21000</v>
      </c>
      <c r="R11" s="36" t="n">
        <f aca="false">mkt_floor*(1+mkt_growth)^(Growth!R21-1)*3</f>
        <v>29400</v>
      </c>
      <c r="S11" s="36" t="n">
        <f aca="false">mkt_floor*(1+mkt_growth)^(Growth!S21-1)*3</f>
        <v>29400</v>
      </c>
      <c r="T11" s="36" t="n">
        <f aca="false">mkt_floor*(1+mkt_growth)^(Growth!T21-1)*3</f>
        <v>29400</v>
      </c>
      <c r="U11" s="36" t="n">
        <f aca="false">mkt_floor*(1+mkt_growth)^(Growth!U21-1)*3</f>
        <v>29400</v>
      </c>
      <c r="V11" s="36" t="n">
        <f aca="false">mkt_floor*(1+mkt_growth)^(Growth!V21-1)*3</f>
        <v>41160</v>
      </c>
      <c r="W11" s="36" t="n">
        <f aca="false">mkt_floor*(1+mkt_growth)^(Growth!W21-1)*3</f>
        <v>41160</v>
      </c>
      <c r="X11" s="36" t="n">
        <f aca="false">mkt_floor*(1+mkt_growth)^(Growth!X21-1)*3</f>
        <v>41160</v>
      </c>
      <c r="Y11" s="36" t="n">
        <f aca="false">mkt_floor*(1+mkt_growth)^(Growth!Y21-1)*3</f>
        <v>41160</v>
      </c>
      <c r="Z11" s="36" t="n">
        <f aca="false">mkt_floor*(1+mkt_growth)^(Growth!Z21-1)*3</f>
        <v>57624</v>
      </c>
      <c r="AA11" s="36" t="n">
        <f aca="false">mkt_floor*(1+mkt_growth)^(Growth!AA21-1)*3</f>
        <v>57624</v>
      </c>
      <c r="AB11" s="36" t="n">
        <f aca="false">mkt_floor*(1+mkt_growth)^(Growth!AB21-1)*3</f>
        <v>57624</v>
      </c>
      <c r="AC11" s="36" t="n">
        <f aca="false">mkt_floor*(1+mkt_growth)^(Growth!AC21-1)*3</f>
        <v>57624</v>
      </c>
    </row>
    <row r="12" customFormat="false" ht="15" hidden="false" customHeight="false" outlineLevel="0" collapsed="false">
      <c r="A12" s="4" t="s">
        <v>246</v>
      </c>
      <c r="B12" s="36" t="n">
        <f aca="false">legal*1</f>
        <v>1500</v>
      </c>
      <c r="C12" s="36" t="n">
        <f aca="false">legal*1</f>
        <v>1500</v>
      </c>
      <c r="D12" s="36" t="n">
        <f aca="false">legal*1</f>
        <v>1500</v>
      </c>
      <c r="E12" s="36" t="n">
        <f aca="false">legal*1</f>
        <v>1500</v>
      </c>
      <c r="F12" s="36" t="n">
        <f aca="false">legal*1</f>
        <v>1500</v>
      </c>
      <c r="G12" s="36" t="n">
        <f aca="false">legal*1</f>
        <v>1500</v>
      </c>
      <c r="H12" s="36" t="n">
        <f aca="false">legal*1</f>
        <v>1500</v>
      </c>
      <c r="I12" s="36" t="n">
        <f aca="false">legal*1</f>
        <v>1500</v>
      </c>
      <c r="J12" s="36" t="n">
        <f aca="false">legal*1</f>
        <v>1500</v>
      </c>
      <c r="K12" s="36" t="n">
        <f aca="false">legal*1</f>
        <v>1500</v>
      </c>
      <c r="L12" s="36" t="n">
        <f aca="false">legal*1</f>
        <v>1500</v>
      </c>
      <c r="M12" s="36" t="n">
        <f aca="false">legal*1</f>
        <v>1500</v>
      </c>
      <c r="N12" s="36" t="n">
        <f aca="false">legal*3</f>
        <v>4500</v>
      </c>
      <c r="O12" s="36" t="n">
        <f aca="false">legal*3</f>
        <v>4500</v>
      </c>
      <c r="P12" s="36" t="n">
        <f aca="false">legal*3</f>
        <v>4500</v>
      </c>
      <c r="Q12" s="36" t="n">
        <f aca="false">legal*3</f>
        <v>4500</v>
      </c>
      <c r="R12" s="36" t="n">
        <f aca="false">legal*3</f>
        <v>4500</v>
      </c>
      <c r="S12" s="36" t="n">
        <f aca="false">legal*3</f>
        <v>4500</v>
      </c>
      <c r="T12" s="36" t="n">
        <f aca="false">legal*3</f>
        <v>4500</v>
      </c>
      <c r="U12" s="36" t="n">
        <f aca="false">legal*3</f>
        <v>4500</v>
      </c>
      <c r="V12" s="36" t="n">
        <f aca="false">legal*3</f>
        <v>4500</v>
      </c>
      <c r="W12" s="36" t="n">
        <f aca="false">legal*3</f>
        <v>4500</v>
      </c>
      <c r="X12" s="36" t="n">
        <f aca="false">legal*3</f>
        <v>4500</v>
      </c>
      <c r="Y12" s="36" t="n">
        <f aca="false">legal*3</f>
        <v>4500</v>
      </c>
      <c r="Z12" s="36" t="n">
        <f aca="false">legal*3</f>
        <v>4500</v>
      </c>
      <c r="AA12" s="36" t="n">
        <f aca="false">legal*3</f>
        <v>4500</v>
      </c>
      <c r="AB12" s="36" t="n">
        <f aca="false">legal*3</f>
        <v>4500</v>
      </c>
      <c r="AC12" s="36" t="n">
        <f aca="false">legal*3</f>
        <v>4500</v>
      </c>
    </row>
    <row r="13" customFormat="false" ht="15" hidden="false" customHeight="false" outlineLevel="0" collapsed="false">
      <c r="A13" s="4" t="s">
        <v>247</v>
      </c>
      <c r="B13" s="36" t="n">
        <f aca="false">founder_salary*(1+salary_growth)^(Growth!B21-1)*1</f>
        <v>25000</v>
      </c>
      <c r="C13" s="36" t="n">
        <f aca="false">founder_salary*(1+salary_growth)^(Growth!C21-1)*1</f>
        <v>25000</v>
      </c>
      <c r="D13" s="36" t="n">
        <f aca="false">founder_salary*(1+salary_growth)^(Growth!D21-1)*1</f>
        <v>25000</v>
      </c>
      <c r="E13" s="36" t="n">
        <f aca="false">founder_salary*(1+salary_growth)^(Growth!E21-1)*1</f>
        <v>25000</v>
      </c>
      <c r="F13" s="36" t="n">
        <f aca="false">founder_salary*(1+salary_growth)^(Growth!F21-1)*1</f>
        <v>25000</v>
      </c>
      <c r="G13" s="36" t="n">
        <f aca="false">founder_salary*(1+salary_growth)^(Growth!G21-1)*1</f>
        <v>25000</v>
      </c>
      <c r="H13" s="36" t="n">
        <f aca="false">founder_salary*(1+salary_growth)^(Growth!H21-1)*1</f>
        <v>25000</v>
      </c>
      <c r="I13" s="36" t="n">
        <f aca="false">founder_salary*(1+salary_growth)^(Growth!I21-1)*1</f>
        <v>25000</v>
      </c>
      <c r="J13" s="36" t="n">
        <f aca="false">founder_salary*(1+salary_growth)^(Growth!J21-1)*1</f>
        <v>25000</v>
      </c>
      <c r="K13" s="36" t="n">
        <f aca="false">founder_salary*(1+salary_growth)^(Growth!K21-1)*1</f>
        <v>25000</v>
      </c>
      <c r="L13" s="36" t="n">
        <f aca="false">founder_salary*(1+salary_growth)^(Growth!L21-1)*1</f>
        <v>25000</v>
      </c>
      <c r="M13" s="36" t="n">
        <f aca="false">founder_salary*(1+salary_growth)^(Growth!M21-1)*1</f>
        <v>25000</v>
      </c>
      <c r="N13" s="36" t="n">
        <f aca="false">founder_salary*(1+salary_growth)^(Growth!N21-1)*3</f>
        <v>82500</v>
      </c>
      <c r="O13" s="36" t="n">
        <f aca="false">founder_salary*(1+salary_growth)^(Growth!O21-1)*3</f>
        <v>82500</v>
      </c>
      <c r="P13" s="36" t="n">
        <f aca="false">founder_salary*(1+salary_growth)^(Growth!P21-1)*3</f>
        <v>82500</v>
      </c>
      <c r="Q13" s="36" t="n">
        <f aca="false">founder_salary*(1+salary_growth)^(Growth!Q21-1)*3</f>
        <v>82500</v>
      </c>
      <c r="R13" s="36" t="n">
        <f aca="false">founder_salary*(1+salary_growth)^(Growth!R21-1)*3</f>
        <v>90750</v>
      </c>
      <c r="S13" s="36" t="n">
        <f aca="false">founder_salary*(1+salary_growth)^(Growth!S21-1)*3</f>
        <v>90750</v>
      </c>
      <c r="T13" s="36" t="n">
        <f aca="false">founder_salary*(1+salary_growth)^(Growth!T21-1)*3</f>
        <v>90750</v>
      </c>
      <c r="U13" s="36" t="n">
        <f aca="false">founder_salary*(1+salary_growth)^(Growth!U21-1)*3</f>
        <v>90750</v>
      </c>
      <c r="V13" s="36" t="n">
        <f aca="false">founder_salary*(1+salary_growth)^(Growth!V21-1)*3</f>
        <v>99825</v>
      </c>
      <c r="W13" s="36" t="n">
        <f aca="false">founder_salary*(1+salary_growth)^(Growth!W21-1)*3</f>
        <v>99825</v>
      </c>
      <c r="X13" s="36" t="n">
        <f aca="false">founder_salary*(1+salary_growth)^(Growth!X21-1)*3</f>
        <v>99825</v>
      </c>
      <c r="Y13" s="36" t="n">
        <f aca="false">founder_salary*(1+salary_growth)^(Growth!Y21-1)*3</f>
        <v>99825</v>
      </c>
      <c r="Z13" s="36" t="n">
        <f aca="false">founder_salary*(1+salary_growth)^(Growth!Z21-1)*3</f>
        <v>109807.5</v>
      </c>
      <c r="AA13" s="36" t="n">
        <f aca="false">founder_salary*(1+salary_growth)^(Growth!AA21-1)*3</f>
        <v>109807.5</v>
      </c>
      <c r="AB13" s="36" t="n">
        <f aca="false">founder_salary*(1+salary_growth)^(Growth!AB21-1)*3</f>
        <v>109807.5</v>
      </c>
      <c r="AC13" s="36" t="n">
        <f aca="false">founder_salary*(1+salary_growth)^(Growth!AC21-1)*3</f>
        <v>109807.5</v>
      </c>
    </row>
    <row r="14" customFormat="false" ht="15" hidden="false" customHeight="false" outlineLevel="0" collapsed="false">
      <c r="A14" s="4" t="s">
        <v>248</v>
      </c>
      <c r="B14" s="36" t="n">
        <f aca="false">IF(AND(hire1_yr&gt;0,Growth!B21&gt;=hire1_yr),hire1_sal*1,0)</f>
        <v>0</v>
      </c>
      <c r="C14" s="36" t="n">
        <f aca="false">IF(AND(hire1_yr&gt;0,Growth!C21&gt;=hire1_yr),hire1_sal*1,0)</f>
        <v>0</v>
      </c>
      <c r="D14" s="36" t="n">
        <f aca="false">IF(AND(hire1_yr&gt;0,Growth!D21&gt;=hire1_yr),hire1_sal*1,0)</f>
        <v>0</v>
      </c>
      <c r="E14" s="36" t="n">
        <f aca="false">IF(AND(hire1_yr&gt;0,Growth!E21&gt;=hire1_yr),hire1_sal*1,0)</f>
        <v>0</v>
      </c>
      <c r="F14" s="36" t="n">
        <f aca="false">IF(AND(hire1_yr&gt;0,Growth!F21&gt;=hire1_yr),hire1_sal*1,0)</f>
        <v>0</v>
      </c>
      <c r="G14" s="36" t="n">
        <f aca="false">IF(AND(hire1_yr&gt;0,Growth!G21&gt;=hire1_yr),hire1_sal*1,0)</f>
        <v>0</v>
      </c>
      <c r="H14" s="36" t="n">
        <f aca="false">IF(AND(hire1_yr&gt;0,Growth!H21&gt;=hire1_yr),hire1_sal*1,0)</f>
        <v>0</v>
      </c>
      <c r="I14" s="36" t="n">
        <f aca="false">IF(AND(hire1_yr&gt;0,Growth!I21&gt;=hire1_yr),hire1_sal*1,0)</f>
        <v>0</v>
      </c>
      <c r="J14" s="36" t="n">
        <f aca="false">IF(AND(hire1_yr&gt;0,Growth!J21&gt;=hire1_yr),hire1_sal*1,0)</f>
        <v>0</v>
      </c>
      <c r="K14" s="36" t="n">
        <f aca="false">IF(AND(hire1_yr&gt;0,Growth!K21&gt;=hire1_yr),hire1_sal*1,0)</f>
        <v>0</v>
      </c>
      <c r="L14" s="36" t="n">
        <f aca="false">IF(AND(hire1_yr&gt;0,Growth!L21&gt;=hire1_yr),hire1_sal*1,0)</f>
        <v>0</v>
      </c>
      <c r="M14" s="36" t="n">
        <f aca="false">IF(AND(hire1_yr&gt;0,Growth!M21&gt;=hire1_yr),hire1_sal*1,0)</f>
        <v>0</v>
      </c>
      <c r="N14" s="36" t="n">
        <f aca="false">IF(AND(hire1_yr&gt;0,Growth!N21&gt;=hire1_yr),hire1_sal*3,0)</f>
        <v>0</v>
      </c>
      <c r="O14" s="36" t="n">
        <f aca="false">IF(AND(hire1_yr&gt;0,Growth!O21&gt;=hire1_yr),hire1_sal*3,0)</f>
        <v>0</v>
      </c>
      <c r="P14" s="36" t="n">
        <f aca="false">IF(AND(hire1_yr&gt;0,Growth!P21&gt;=hire1_yr),hire1_sal*3,0)</f>
        <v>0</v>
      </c>
      <c r="Q14" s="36" t="n">
        <f aca="false">IF(AND(hire1_yr&gt;0,Growth!Q21&gt;=hire1_yr),hire1_sal*3,0)</f>
        <v>0</v>
      </c>
      <c r="R14" s="36" t="n">
        <f aca="false">IF(AND(hire1_yr&gt;0,Growth!R21&gt;=hire1_yr),hire1_sal*3,0)</f>
        <v>105000</v>
      </c>
      <c r="S14" s="36" t="n">
        <f aca="false">IF(AND(hire1_yr&gt;0,Growth!S21&gt;=hire1_yr),hire1_sal*3,0)</f>
        <v>105000</v>
      </c>
      <c r="T14" s="36" t="n">
        <f aca="false">IF(AND(hire1_yr&gt;0,Growth!T21&gt;=hire1_yr),hire1_sal*3,0)</f>
        <v>105000</v>
      </c>
      <c r="U14" s="36" t="n">
        <f aca="false">IF(AND(hire1_yr&gt;0,Growth!U21&gt;=hire1_yr),hire1_sal*3,0)</f>
        <v>105000</v>
      </c>
      <c r="V14" s="36" t="n">
        <f aca="false">IF(AND(hire1_yr&gt;0,Growth!V21&gt;=hire1_yr),hire1_sal*3,0)</f>
        <v>105000</v>
      </c>
      <c r="W14" s="36" t="n">
        <f aca="false">IF(AND(hire1_yr&gt;0,Growth!W21&gt;=hire1_yr),hire1_sal*3,0)</f>
        <v>105000</v>
      </c>
      <c r="X14" s="36" t="n">
        <f aca="false">IF(AND(hire1_yr&gt;0,Growth!X21&gt;=hire1_yr),hire1_sal*3,0)</f>
        <v>105000</v>
      </c>
      <c r="Y14" s="36" t="n">
        <f aca="false">IF(AND(hire1_yr&gt;0,Growth!Y21&gt;=hire1_yr),hire1_sal*3,0)</f>
        <v>105000</v>
      </c>
      <c r="Z14" s="36" t="n">
        <f aca="false">IF(AND(hire1_yr&gt;0,Growth!Z21&gt;=hire1_yr),hire1_sal*3,0)</f>
        <v>105000</v>
      </c>
      <c r="AA14" s="36" t="n">
        <f aca="false">IF(AND(hire1_yr&gt;0,Growth!AA21&gt;=hire1_yr),hire1_sal*3,0)</f>
        <v>105000</v>
      </c>
      <c r="AB14" s="36" t="n">
        <f aca="false">IF(AND(hire1_yr&gt;0,Growth!AB21&gt;=hire1_yr),hire1_sal*3,0)</f>
        <v>105000</v>
      </c>
      <c r="AC14" s="36" t="n">
        <f aca="false">IF(AND(hire1_yr&gt;0,Growth!AC21&gt;=hire1_yr),hire1_sal*3,0)</f>
        <v>105000</v>
      </c>
    </row>
    <row r="15" customFormat="false" ht="15" hidden="false" customHeight="false" outlineLevel="0" collapsed="false">
      <c r="A15" s="4" t="s">
        <v>249</v>
      </c>
      <c r="B15" s="36" t="n">
        <f aca="false">IF(AND(hire2_yr&gt;0,Growth!B21&gt;=hire2_yr),hire2_sal*1,0)</f>
        <v>0</v>
      </c>
      <c r="C15" s="36" t="n">
        <f aca="false">IF(AND(hire2_yr&gt;0,Growth!C21&gt;=hire2_yr),hire2_sal*1,0)</f>
        <v>0</v>
      </c>
      <c r="D15" s="36" t="n">
        <f aca="false">IF(AND(hire2_yr&gt;0,Growth!D21&gt;=hire2_yr),hire2_sal*1,0)</f>
        <v>0</v>
      </c>
      <c r="E15" s="36" t="n">
        <f aca="false">IF(AND(hire2_yr&gt;0,Growth!E21&gt;=hire2_yr),hire2_sal*1,0)</f>
        <v>0</v>
      </c>
      <c r="F15" s="36" t="n">
        <f aca="false">IF(AND(hire2_yr&gt;0,Growth!F21&gt;=hire2_yr),hire2_sal*1,0)</f>
        <v>0</v>
      </c>
      <c r="G15" s="36" t="n">
        <f aca="false">IF(AND(hire2_yr&gt;0,Growth!G21&gt;=hire2_yr),hire2_sal*1,0)</f>
        <v>0</v>
      </c>
      <c r="H15" s="36" t="n">
        <f aca="false">IF(AND(hire2_yr&gt;0,Growth!H21&gt;=hire2_yr),hire2_sal*1,0)</f>
        <v>0</v>
      </c>
      <c r="I15" s="36" t="n">
        <f aca="false">IF(AND(hire2_yr&gt;0,Growth!I21&gt;=hire2_yr),hire2_sal*1,0)</f>
        <v>0</v>
      </c>
      <c r="J15" s="36" t="n">
        <f aca="false">IF(AND(hire2_yr&gt;0,Growth!J21&gt;=hire2_yr),hire2_sal*1,0)</f>
        <v>0</v>
      </c>
      <c r="K15" s="36" t="n">
        <f aca="false">IF(AND(hire2_yr&gt;0,Growth!K21&gt;=hire2_yr),hire2_sal*1,0)</f>
        <v>0</v>
      </c>
      <c r="L15" s="36" t="n">
        <f aca="false">IF(AND(hire2_yr&gt;0,Growth!L21&gt;=hire2_yr),hire2_sal*1,0)</f>
        <v>0</v>
      </c>
      <c r="M15" s="36" t="n">
        <f aca="false">IF(AND(hire2_yr&gt;0,Growth!M21&gt;=hire2_yr),hire2_sal*1,0)</f>
        <v>0</v>
      </c>
      <c r="N15" s="36" t="n">
        <f aca="false">IF(AND(hire2_yr&gt;0,Growth!N21&gt;=hire2_yr),hire2_sal*3,0)</f>
        <v>0</v>
      </c>
      <c r="O15" s="36" t="n">
        <f aca="false">IF(AND(hire2_yr&gt;0,Growth!O21&gt;=hire2_yr),hire2_sal*3,0)</f>
        <v>0</v>
      </c>
      <c r="P15" s="36" t="n">
        <f aca="false">IF(AND(hire2_yr&gt;0,Growth!P21&gt;=hire2_yr),hire2_sal*3,0)</f>
        <v>0</v>
      </c>
      <c r="Q15" s="36" t="n">
        <f aca="false">IF(AND(hire2_yr&gt;0,Growth!Q21&gt;=hire2_yr),hire2_sal*3,0)</f>
        <v>0</v>
      </c>
      <c r="R15" s="36" t="n">
        <f aca="false">IF(AND(hire2_yr&gt;0,Growth!R21&gt;=hire2_yr),hire2_sal*3,0)</f>
        <v>0</v>
      </c>
      <c r="S15" s="36" t="n">
        <f aca="false">IF(AND(hire2_yr&gt;0,Growth!S21&gt;=hire2_yr),hire2_sal*3,0)</f>
        <v>0</v>
      </c>
      <c r="T15" s="36" t="n">
        <f aca="false">IF(AND(hire2_yr&gt;0,Growth!T21&gt;=hire2_yr),hire2_sal*3,0)</f>
        <v>0</v>
      </c>
      <c r="U15" s="36" t="n">
        <f aca="false">IF(AND(hire2_yr&gt;0,Growth!U21&gt;=hire2_yr),hire2_sal*3,0)</f>
        <v>0</v>
      </c>
      <c r="V15" s="36" t="n">
        <f aca="false">IF(AND(hire2_yr&gt;0,Growth!V21&gt;=hire2_yr),hire2_sal*3,0)</f>
        <v>195000</v>
      </c>
      <c r="W15" s="36" t="n">
        <f aca="false">IF(AND(hire2_yr&gt;0,Growth!W21&gt;=hire2_yr),hire2_sal*3,0)</f>
        <v>195000</v>
      </c>
      <c r="X15" s="36" t="n">
        <f aca="false">IF(AND(hire2_yr&gt;0,Growth!X21&gt;=hire2_yr),hire2_sal*3,0)</f>
        <v>195000</v>
      </c>
      <c r="Y15" s="36" t="n">
        <f aca="false">IF(AND(hire2_yr&gt;0,Growth!Y21&gt;=hire2_yr),hire2_sal*3,0)</f>
        <v>195000</v>
      </c>
      <c r="Z15" s="36" t="n">
        <f aca="false">IF(AND(hire2_yr&gt;0,Growth!Z21&gt;=hire2_yr),hire2_sal*3,0)</f>
        <v>195000</v>
      </c>
      <c r="AA15" s="36" t="n">
        <f aca="false">IF(AND(hire2_yr&gt;0,Growth!AA21&gt;=hire2_yr),hire2_sal*3,0)</f>
        <v>195000</v>
      </c>
      <c r="AB15" s="36" t="n">
        <f aca="false">IF(AND(hire2_yr&gt;0,Growth!AB21&gt;=hire2_yr),hire2_sal*3,0)</f>
        <v>195000</v>
      </c>
      <c r="AC15" s="36" t="n">
        <f aca="false">IF(AND(hire2_yr&gt;0,Growth!AC21&gt;=hire2_yr),hire2_sal*3,0)</f>
        <v>195000</v>
      </c>
    </row>
    <row r="16" customFormat="false" ht="15" hidden="false" customHeight="false" outlineLevel="0" collapsed="false">
      <c r="A16" s="4" t="s">
        <v>250</v>
      </c>
      <c r="B16" s="36" t="n">
        <f aca="false">SUM(B11:B15)</f>
        <v>31500</v>
      </c>
      <c r="C16" s="36" t="n">
        <f aca="false">SUM(C11:C15)</f>
        <v>31500</v>
      </c>
      <c r="D16" s="36" t="n">
        <f aca="false">SUM(D11:D15)</f>
        <v>31500</v>
      </c>
      <c r="E16" s="36" t="n">
        <f aca="false">SUM(E11:E15)</f>
        <v>31500</v>
      </c>
      <c r="F16" s="36" t="n">
        <f aca="false">SUM(F11:F15)</f>
        <v>31500</v>
      </c>
      <c r="G16" s="36" t="n">
        <f aca="false">SUM(G11:G15)</f>
        <v>31500</v>
      </c>
      <c r="H16" s="36" t="n">
        <f aca="false">SUM(H11:H15)</f>
        <v>31500</v>
      </c>
      <c r="I16" s="36" t="n">
        <f aca="false">SUM(I11:I15)</f>
        <v>31500</v>
      </c>
      <c r="J16" s="36" t="n">
        <f aca="false">SUM(J11:J15)</f>
        <v>31500</v>
      </c>
      <c r="K16" s="36" t="n">
        <f aca="false">SUM(K11:K15)</f>
        <v>31500</v>
      </c>
      <c r="L16" s="36" t="n">
        <f aca="false">SUM(L11:L15)</f>
        <v>31500</v>
      </c>
      <c r="M16" s="36" t="n">
        <f aca="false">SUM(M11:M15)</f>
        <v>31500</v>
      </c>
      <c r="N16" s="36" t="n">
        <f aca="false">SUM(N11:N15)</f>
        <v>108000</v>
      </c>
      <c r="O16" s="36" t="n">
        <f aca="false">SUM(O11:O15)</f>
        <v>108000</v>
      </c>
      <c r="P16" s="36" t="n">
        <f aca="false">SUM(P11:P15)</f>
        <v>108000</v>
      </c>
      <c r="Q16" s="36" t="n">
        <f aca="false">SUM(Q11:Q15)</f>
        <v>108000</v>
      </c>
      <c r="R16" s="36" t="n">
        <f aca="false">SUM(R11:R15)</f>
        <v>229650</v>
      </c>
      <c r="S16" s="36" t="n">
        <f aca="false">SUM(S11:S15)</f>
        <v>229650</v>
      </c>
      <c r="T16" s="36" t="n">
        <f aca="false">SUM(T11:T15)</f>
        <v>229650</v>
      </c>
      <c r="U16" s="36" t="n">
        <f aca="false">SUM(U11:U15)</f>
        <v>229650</v>
      </c>
      <c r="V16" s="36" t="n">
        <f aca="false">SUM(V11:V15)</f>
        <v>445485</v>
      </c>
      <c r="W16" s="36" t="n">
        <f aca="false">SUM(W11:W15)</f>
        <v>445485</v>
      </c>
      <c r="X16" s="36" t="n">
        <f aca="false">SUM(X11:X15)</f>
        <v>445485</v>
      </c>
      <c r="Y16" s="36" t="n">
        <f aca="false">SUM(Y11:Y15)</f>
        <v>445485</v>
      </c>
      <c r="Z16" s="36" t="n">
        <f aca="false">SUM(Z11:Z15)</f>
        <v>471931.5</v>
      </c>
      <c r="AA16" s="36" t="n">
        <f aca="false">SUM(AA11:AA15)</f>
        <v>471931.5</v>
      </c>
      <c r="AB16" s="36" t="n">
        <f aca="false">SUM(AB11:AB15)</f>
        <v>471931.5</v>
      </c>
      <c r="AC16" s="36" t="n">
        <f aca="false">SUM(AC11:AC15)</f>
        <v>471931.5</v>
      </c>
    </row>
    <row r="17" customFormat="false" ht="15" hidden="false" customHeight="false" outlineLevel="0" collapsed="false">
      <c r="A17" s="4" t="s">
        <v>251</v>
      </c>
      <c r="B17" s="36" t="n">
        <f aca="false">Revenue!B13</f>
        <v>92.5656249942555</v>
      </c>
      <c r="C17" s="36" t="n">
        <f aca="false">Revenue!C13</f>
        <v>181.322237194639</v>
      </c>
      <c r="D17" s="36" t="n">
        <f aca="false">Revenue!D13</f>
        <v>266.420403856934</v>
      </c>
      <c r="E17" s="36" t="n">
        <f aca="false">Revenue!E13</f>
        <v>348.004750430479</v>
      </c>
      <c r="F17" s="36" t="n">
        <f aca="false">Revenue!F13</f>
        <v>426.214195021667</v>
      </c>
      <c r="G17" s="36" t="n">
        <f aca="false">Revenue!G13</f>
        <v>501.182173605544</v>
      </c>
      <c r="H17" s="36" t="n">
        <f aca="false">Revenue!H13</f>
        <v>573.036856350595</v>
      </c>
      <c r="I17" s="36" t="n">
        <f aca="false">Revenue!I13</f>
        <v>641.901355407388</v>
      </c>
      <c r="J17" s="36" t="n">
        <f aca="false">Revenue!J13</f>
        <v>707.893924497909</v>
      </c>
      <c r="K17" s="36" t="n">
        <f aca="false">Revenue!K13</f>
        <v>771.128150629129</v>
      </c>
      <c r="L17" s="36" t="n">
        <f aca="false">Revenue!L13</f>
        <v>831.713138241591</v>
      </c>
      <c r="M17" s="36" t="n">
        <f aca="false">Revenue!M13</f>
        <v>889.75368609151</v>
      </c>
      <c r="N17" s="36" t="n">
        <f aca="false">Revenue!N13</f>
        <v>3671.59741829209</v>
      </c>
      <c r="O17" s="36" t="n">
        <f aca="false">Revenue!O13</f>
        <v>4553.40610712915</v>
      </c>
      <c r="P17" s="36" t="n">
        <f aca="false">Revenue!P13</f>
        <v>5328.4175354294</v>
      </c>
      <c r="Q17" s="36" t="n">
        <f aca="false">Revenue!Q13</f>
        <v>6008.80161226472</v>
      </c>
      <c r="R17" s="36" t="n">
        <f aca="false">Revenue!R13</f>
        <v>7240.56538411154</v>
      </c>
      <c r="S17" s="36" t="n">
        <f aca="false">Revenue!S13</f>
        <v>8969.29233451802</v>
      </c>
      <c r="T17" s="36" t="n">
        <f aca="false">Revenue!T13</f>
        <v>10488.6258225684</v>
      </c>
      <c r="U17" s="36" t="n">
        <f aca="false">Revenue!U13</f>
        <v>11822.4270585063</v>
      </c>
      <c r="V17" s="36" t="n">
        <f aca="false">Revenue!V13</f>
        <v>13024.1635040053</v>
      </c>
      <c r="W17" s="36" t="n">
        <f aca="false">Revenue!W13</f>
        <v>14076.4259489781</v>
      </c>
      <c r="X17" s="36" t="n">
        <f aca="false">Revenue!X13</f>
        <v>14996.2661615559</v>
      </c>
      <c r="Y17" s="36" t="n">
        <f aca="false">Revenue!Y13</f>
        <v>15798.7978057603</v>
      </c>
      <c r="Z17" s="36" t="n">
        <f aca="false">Revenue!Z13</f>
        <v>16530.2739403081</v>
      </c>
      <c r="AA17" s="36" t="n">
        <f aca="false">Revenue!AA13</f>
        <v>17165.8099396786</v>
      </c>
      <c r="AB17" s="36" t="n">
        <f aca="false">Revenue!AB13</f>
        <v>17716.3734818751</v>
      </c>
      <c r="AC17" s="36" t="n">
        <f aca="false">Revenue!AC13</f>
        <v>18191.6855424711</v>
      </c>
    </row>
    <row r="18" customFormat="false" ht="15" hidden="false" customHeight="false" outlineLevel="0" collapsed="false">
      <c r="A18" s="4" t="s">
        <v>252</v>
      </c>
      <c r="B18" s="36" t="n">
        <f aca="false">B10+B16+B17</f>
        <v>32627.106727115</v>
      </c>
      <c r="C18" s="36" t="n">
        <f aca="false">C10+C16+C17</f>
        <v>32717.7405472427</v>
      </c>
      <c r="D18" s="36" t="n">
        <f aca="false">D10+D16+D17</f>
        <v>32804.6385454793</v>
      </c>
      <c r="E18" s="36" t="n">
        <f aca="false">E10+E16+E17</f>
        <v>32887.9484061113</v>
      </c>
      <c r="F18" s="36" t="n">
        <f aca="false">F10+F16+F17</f>
        <v>32967.8119853719</v>
      </c>
      <c r="G18" s="36" t="n">
        <f aca="false">G10+G16+G17</f>
        <v>33044.3655414154</v>
      </c>
      <c r="H18" s="36" t="n">
        <f aca="false">H10+H16+H17</f>
        <v>33117.7399552173</v>
      </c>
      <c r="I18" s="36" t="n">
        <f aca="false">I10+I16+I17</f>
        <v>33188.0609427581</v>
      </c>
      <c r="J18" s="36" t="n">
        <f aca="false">J10+J16+J17</f>
        <v>33255.4492588332</v>
      </c>
      <c r="K18" s="36" t="n">
        <f aca="false">K10+K16+K17</f>
        <v>33320.0208928221</v>
      </c>
      <c r="L18" s="36" t="n">
        <f aca="false">L10+L16+L17</f>
        <v>33381.8872567309</v>
      </c>
      <c r="M18" s="36" t="n">
        <f aca="false">M10+M16+M17</f>
        <v>33441.1553658164</v>
      </c>
      <c r="N18" s="36" t="n">
        <f aca="false">N10+N16+N17</f>
        <v>114847.001934489</v>
      </c>
      <c r="O18" s="36" t="n">
        <f aca="false">O10+O16+O17</f>
        <v>115747.460932526</v>
      </c>
      <c r="P18" s="36" t="n">
        <f aca="false">P10+P16+P17</f>
        <v>116538.863901253</v>
      </c>
      <c r="Q18" s="36" t="n">
        <f aca="false">Q10+Q16+Q17</f>
        <v>117233.638144083</v>
      </c>
      <c r="R18" s="36" t="n">
        <f aca="false">R10+R16+R17</f>
        <v>240162.739445276</v>
      </c>
      <c r="S18" s="36" t="n">
        <f aca="false">S10+S16+S17</f>
        <v>241933.111151214</v>
      </c>
      <c r="T18" s="36" t="n">
        <f aca="false">T10+T16+T17</f>
        <v>243489.045139804</v>
      </c>
      <c r="U18" s="36" t="n">
        <f aca="false">U10+U16+U17</f>
        <v>244854.977434025</v>
      </c>
      <c r="V18" s="36" t="n">
        <f aca="false">V10+V16+V17</f>
        <v>461920.663518144</v>
      </c>
      <c r="W18" s="36" t="n">
        <f aca="false">W10+W16+W17</f>
        <v>462998.274796989</v>
      </c>
      <c r="X18" s="36" t="n">
        <f aca="false">X10+X16+X17</f>
        <v>463940.273813056</v>
      </c>
      <c r="Y18" s="36" t="n">
        <f aca="false">Y10+Y16+Y17</f>
        <v>464762.138316115</v>
      </c>
      <c r="Z18" s="36" t="n">
        <f aca="false">Z10+Z16+Z17</f>
        <v>491957.735593662</v>
      </c>
      <c r="AA18" s="36" t="n">
        <f aca="false">AA10+AA16+AA17</f>
        <v>492608.581553533</v>
      </c>
      <c r="AB18" s="36" t="n">
        <f aca="false">AB10+AB16+AB17</f>
        <v>493172.408083336</v>
      </c>
      <c r="AC18" s="36" t="n">
        <f aca="false">AC10+AC16+AC17</f>
        <v>493659.170335393</v>
      </c>
    </row>
    <row r="19" customFormat="false" ht="15" hidden="false" customHeight="false" outlineLevel="0" collapsed="false">
      <c r="A19" s="4" t="s">
        <v>253</v>
      </c>
      <c r="B19" s="37" t="n">
        <f aca="false">B18/fx</f>
        <v>1717.21614353237</v>
      </c>
      <c r="C19" s="37" t="n">
        <f aca="false">C18/fx</f>
        <v>1721.98634459172</v>
      </c>
      <c r="D19" s="37" t="n">
        <f aca="false">D18/fx</f>
        <v>1726.55992344628</v>
      </c>
      <c r="E19" s="37" t="n">
        <f aca="false">E18/fx</f>
        <v>1730.94465295323</v>
      </c>
      <c r="F19" s="37" t="n">
        <f aca="false">F18/fx</f>
        <v>1735.1479992301</v>
      </c>
      <c r="G19" s="37" t="n">
        <f aca="false">G18/fx</f>
        <v>1739.1771337587</v>
      </c>
      <c r="H19" s="37" t="n">
        <f aca="false">H18/fx</f>
        <v>1743.03894501144</v>
      </c>
      <c r="I19" s="37" t="n">
        <f aca="false">I18/fx</f>
        <v>1746.74004961885</v>
      </c>
      <c r="J19" s="37" t="n">
        <f aca="false">J18/fx</f>
        <v>1750.28680309648</v>
      </c>
      <c r="K19" s="37" t="n">
        <f aca="false">K18/fx</f>
        <v>1753.68531014853</v>
      </c>
      <c r="L19" s="37" t="n">
        <f aca="false">L18/fx</f>
        <v>1756.94143456479</v>
      </c>
      <c r="M19" s="37" t="n">
        <f aca="false">M18/fx</f>
        <v>1760.06080872718</v>
      </c>
      <c r="N19" s="37" t="n">
        <f aca="false">N18/fx</f>
        <v>6044.57904918362</v>
      </c>
      <c r="O19" s="37" t="n">
        <f aca="false">O18/fx</f>
        <v>6091.97162802768</v>
      </c>
      <c r="P19" s="37" t="n">
        <f aca="false">P18/fx</f>
        <v>6133.62441585541</v>
      </c>
      <c r="Q19" s="37" t="n">
        <f aca="false">Q18/fx</f>
        <v>6170.19148126751</v>
      </c>
      <c r="R19" s="37" t="n">
        <f aca="false">R18/fx</f>
        <v>12640.1441813303</v>
      </c>
      <c r="S19" s="37" t="n">
        <f aca="false">S18/fx</f>
        <v>12733.3216395376</v>
      </c>
      <c r="T19" s="37" t="n">
        <f aca="false">T18/fx</f>
        <v>12815.212902095</v>
      </c>
      <c r="U19" s="37" t="n">
        <f aca="false">U18/fx</f>
        <v>12887.104075475</v>
      </c>
      <c r="V19" s="37" t="n">
        <f aca="false">V18/fx</f>
        <v>24311.613869376</v>
      </c>
      <c r="W19" s="37" t="n">
        <f aca="false">W18/fx</f>
        <v>24368.3302524731</v>
      </c>
      <c r="X19" s="37" t="n">
        <f aca="false">X18/fx</f>
        <v>24417.9091480556</v>
      </c>
      <c r="Y19" s="37" t="n">
        <f aca="false">Y18/fx</f>
        <v>24461.1651745324</v>
      </c>
      <c r="Z19" s="37" t="n">
        <f aca="false">Z18/fx</f>
        <v>25892.5123996664</v>
      </c>
      <c r="AA19" s="37" t="n">
        <f aca="false">AA18/fx</f>
        <v>25926.7674501859</v>
      </c>
      <c r="AB19" s="37" t="n">
        <f aca="false">AB18/fx</f>
        <v>25956.4425307019</v>
      </c>
      <c r="AC19" s="37" t="n">
        <f aca="false">AC18/fx</f>
        <v>25982.0615965996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6"/>
  </cols>
  <sheetData>
    <row r="1" customFormat="false" ht="15" hidden="false" customHeight="false" outlineLevel="0" collapsed="false">
      <c r="A1" s="30" t="s">
        <v>254</v>
      </c>
    </row>
    <row r="4" customFormat="false" ht="15" hidden="false" customHeight="false" outlineLevel="0" collapsed="false">
      <c r="A4" s="32" t="s">
        <v>255</v>
      </c>
      <c r="B4" s="10" t="s">
        <v>256</v>
      </c>
      <c r="C4" s="10" t="s">
        <v>257</v>
      </c>
      <c r="D4" s="10" t="s">
        <v>258</v>
      </c>
      <c r="E4" s="10" t="s">
        <v>259</v>
      </c>
      <c r="F4" s="10" t="s">
        <v>260</v>
      </c>
      <c r="G4" s="32" t="s">
        <v>261</v>
      </c>
    </row>
    <row r="5" customFormat="false" ht="15" hidden="false" customHeight="false" outlineLevel="0" collapsed="false">
      <c r="A5" s="4" t="s">
        <v>262</v>
      </c>
      <c r="B5" s="33" t="n">
        <f aca="false">Growth!M16</f>
        <v>22.5379961461064</v>
      </c>
      <c r="C5" s="33" t="n">
        <f aca="false">Growth!Q16</f>
        <v>50.7355199148197</v>
      </c>
      <c r="D5" s="33" t="n">
        <f aca="false">Growth!U16</f>
        <v>113.69808363789</v>
      </c>
      <c r="E5" s="33" t="n">
        <f aca="false">Growth!Y16</f>
        <v>151.939447408559</v>
      </c>
      <c r="F5" s="33" t="n">
        <f aca="false">Growth!AC16</f>
        <v>174.952213626378</v>
      </c>
      <c r="G5" s="33" t="n">
        <f aca="false">SUM(B5:F5)</f>
        <v>513.863260733754</v>
      </c>
    </row>
    <row r="6" customFormat="false" ht="15" hidden="false" customHeight="false" outlineLevel="0" collapsed="false">
      <c r="A6" s="4" t="s">
        <v>231</v>
      </c>
      <c r="B6" s="36" t="n">
        <f aca="false">SUM(Revenue!B9:M9)</f>
        <v>190102.469379304</v>
      </c>
      <c r="C6" s="36" t="n">
        <f aca="false">SUM(Revenue!N9:Q9)</f>
        <v>596813.573078096</v>
      </c>
      <c r="D6" s="36" t="n">
        <f aca="false">SUM(Revenue!R9:U9)</f>
        <v>1338564.46099358</v>
      </c>
      <c r="E6" s="36" t="n">
        <f aca="false">SUM(Revenue!V9:Y9)</f>
        <v>2011818.07252007</v>
      </c>
      <c r="F6" s="36" t="n">
        <f aca="false">SUM(Revenue!Z9:AC9)</f>
        <v>2418676.78045944</v>
      </c>
      <c r="G6" s="36" t="n">
        <f aca="false">SUM(B6:F6)</f>
        <v>6555975.35643049</v>
      </c>
    </row>
    <row r="7" customFormat="false" ht="15" hidden="false" customHeight="false" outlineLevel="0" collapsed="false">
      <c r="A7" s="4" t="s">
        <v>263</v>
      </c>
      <c r="B7" s="36" t="n">
        <f aca="false">-SUM(Revenue!B10:M10)</f>
        <v>-0</v>
      </c>
      <c r="C7" s="36" t="n">
        <f aca="false">-SUM(Revenue!N10:Q10)</f>
        <v>-77845.2486623603</v>
      </c>
      <c r="D7" s="36" t="n">
        <f aca="false">-SUM(Revenue!R10:U10)</f>
        <v>-174595.364477424</v>
      </c>
      <c r="E7" s="36" t="n">
        <f aca="false">-SUM(Revenue!V10:Y10)</f>
        <v>-262411.0529374</v>
      </c>
      <c r="F7" s="36" t="n">
        <f aca="false">-SUM(Revenue!Z10:AC10)</f>
        <v>-315479.580059928</v>
      </c>
      <c r="G7" s="36" t="n">
        <f aca="false">SUM(B7:F7)</f>
        <v>-830331.246137112</v>
      </c>
    </row>
    <row r="8" customFormat="false" ht="15" hidden="false" customHeight="false" outlineLevel="0" collapsed="false">
      <c r="A8" s="4" t="s">
        <v>264</v>
      </c>
      <c r="B8" s="36" t="n">
        <f aca="false">SUM(Revenue!B11:M11)</f>
        <v>190102.469379304</v>
      </c>
      <c r="C8" s="36" t="n">
        <f aca="false">SUM(Revenue!N11:Q11)</f>
        <v>518968.324415736</v>
      </c>
      <c r="D8" s="36" t="n">
        <f aca="false">SUM(Revenue!R11:U11)</f>
        <v>1163969.09651616</v>
      </c>
      <c r="E8" s="36" t="n">
        <f aca="false">SUM(Revenue!V11:Y11)</f>
        <v>1749407.01958267</v>
      </c>
      <c r="F8" s="36" t="n">
        <f aca="false">SUM(Revenue!Z11:AC11)</f>
        <v>2103197.20039952</v>
      </c>
      <c r="G8" s="36" t="n">
        <f aca="false">SUM(B8:F8)</f>
        <v>5725644.11029338</v>
      </c>
    </row>
    <row r="9" customFormat="false" ht="15" hidden="false" customHeight="false" outlineLevel="0" collapsed="false">
      <c r="A9" s="4" t="s">
        <v>265</v>
      </c>
      <c r="B9" s="36" t="n">
        <f aca="false">-SUM(Revenue!B13:M13)</f>
        <v>-6231.13649632164</v>
      </c>
      <c r="C9" s="36" t="n">
        <f aca="false">-SUM(Revenue!N13:Q13)</f>
        <v>-19562.2226731154</v>
      </c>
      <c r="D9" s="36" t="n">
        <f aca="false">-SUM(Revenue!R13:U13)</f>
        <v>-38520.9105997043</v>
      </c>
      <c r="E9" s="36" t="n">
        <f aca="false">-SUM(Revenue!V13:Y13)</f>
        <v>-57895.6534202997</v>
      </c>
      <c r="F9" s="36" t="n">
        <f aca="false">-SUM(Revenue!Z13:AC13)</f>
        <v>-69604.1429043329</v>
      </c>
      <c r="G9" s="36" t="n">
        <f aca="false">SUM(B9:F9)</f>
        <v>-191814.066093774</v>
      </c>
    </row>
    <row r="10" customFormat="false" ht="15" hidden="false" customHeight="false" outlineLevel="0" collapsed="false">
      <c r="A10" s="4" t="s">
        <v>266</v>
      </c>
      <c r="B10" s="36" t="n">
        <f aca="false">SUM(Revenue!B14:M14)</f>
        <v>183871.332882983</v>
      </c>
      <c r="C10" s="36" t="n">
        <f aca="false">SUM(Revenue!N14:Q14)</f>
        <v>499406.10174262</v>
      </c>
      <c r="D10" s="36" t="n">
        <f aca="false">SUM(Revenue!R14:U14)</f>
        <v>1125448.18591646</v>
      </c>
      <c r="E10" s="36" t="n">
        <f aca="false">SUM(Revenue!V14:Y14)</f>
        <v>1691511.36616237</v>
      </c>
      <c r="F10" s="36" t="n">
        <f aca="false">SUM(Revenue!Z14:AC14)</f>
        <v>2033593.05749518</v>
      </c>
      <c r="G10" s="36" t="n">
        <f aca="false">SUM(B10:F10)</f>
        <v>5533830.04419961</v>
      </c>
    </row>
    <row r="11" customFormat="false" ht="15" hidden="false" customHeight="false" outlineLevel="0" collapsed="false">
      <c r="A11" s="4" t="s">
        <v>267</v>
      </c>
      <c r="B11" s="38" t="n">
        <f aca="false">SUM(Revenue!B14:M14)/MAX(SUM(Revenue!B11:M11),1)</f>
        <v>0.967222222222222</v>
      </c>
      <c r="C11" s="38" t="n">
        <f aca="false">SUM(Revenue!N14:Q14)/MAX(SUM(Revenue!N11:Q11),1)</f>
        <v>0.962305555555556</v>
      </c>
      <c r="D11" s="38" t="n">
        <f aca="false">SUM(Revenue!R14:U14)/MAX(SUM(Revenue!R11:U11),1)</f>
        <v>0.966905555555556</v>
      </c>
      <c r="E11" s="38" t="n">
        <f aca="false">SUM(Revenue!V14:Y14)/MAX(SUM(Revenue!V11:Y11),1)</f>
        <v>0.966905555555556</v>
      </c>
      <c r="F11" s="38" t="n">
        <f aca="false">SUM(Revenue!Z14:AC14)/MAX(SUM(Revenue!Z11:AC11),1)</f>
        <v>0.966905555555556</v>
      </c>
    </row>
    <row r="12" customFormat="false" ht="15" hidden="false" customHeight="false" outlineLevel="0" collapsed="false">
      <c r="A12" s="4" t="s">
        <v>268</v>
      </c>
      <c r="B12" s="36" t="n">
        <f aca="false">-SUM(Costs!B10:M10)</f>
        <v>-12522.7889285919</v>
      </c>
      <c r="C12" s="36" t="n">
        <f aca="false">-SUM(Costs!N10:Q10)</f>
        <v>-12804.7422392347</v>
      </c>
      <c r="D12" s="36" t="n">
        <f aca="false">-SUM(Costs!R10:U10)</f>
        <v>-13318.962570615</v>
      </c>
      <c r="E12" s="36" t="n">
        <f aca="false">-SUM(Costs!V10:Y10)</f>
        <v>-13785.6970240041</v>
      </c>
      <c r="F12" s="36" t="n">
        <f aca="false">-SUM(Costs!Z10:AC10)</f>
        <v>-14067.7526615908</v>
      </c>
      <c r="G12" s="36" t="n">
        <f aca="false">SUM(B12:F12)</f>
        <v>-66499.9434240364</v>
      </c>
    </row>
    <row r="13" customFormat="false" ht="15" hidden="false" customHeight="false" outlineLevel="0" collapsed="false">
      <c r="A13" s="4" t="s">
        <v>269</v>
      </c>
      <c r="B13" s="36" t="n">
        <f aca="false">-SUM(Costs!B16:M16)</f>
        <v>-378000</v>
      </c>
      <c r="C13" s="36" t="n">
        <f aca="false">-SUM(Costs!N16:Q16)</f>
        <v>-432000</v>
      </c>
      <c r="D13" s="36" t="n">
        <f aca="false">-SUM(Costs!R16:U16)</f>
        <v>-918600</v>
      </c>
      <c r="E13" s="36" t="n">
        <f aca="false">-SUM(Costs!V16:Y16)</f>
        <v>-1781940</v>
      </c>
      <c r="F13" s="36" t="n">
        <f aca="false">-SUM(Costs!Z16:AC16)</f>
        <v>-1887726</v>
      </c>
      <c r="G13" s="36" t="n">
        <f aca="false">SUM(B13:F13)</f>
        <v>-5398266</v>
      </c>
    </row>
    <row r="14" customFormat="false" ht="15" hidden="false" customHeight="false" outlineLevel="0" collapsed="false">
      <c r="A14" s="4" t="s">
        <v>270</v>
      </c>
      <c r="B14" s="36" t="n">
        <f aca="false">B10+B12+B13</f>
        <v>-206651.456045609</v>
      </c>
      <c r="C14" s="36" t="n">
        <f aca="false">C10+C12+C13</f>
        <v>54601.3595033854</v>
      </c>
      <c r="D14" s="36" t="n">
        <f aca="false">D10+D12+D13</f>
        <v>193529.223345841</v>
      </c>
      <c r="E14" s="36" t="n">
        <f aca="false">E10+E12+E13</f>
        <v>-104214.330861638</v>
      </c>
      <c r="F14" s="36" t="n">
        <f aca="false">F10+F12+F13</f>
        <v>131799.304833593</v>
      </c>
      <c r="G14" s="36" t="n">
        <f aca="false">SUM(B14:F14)</f>
        <v>69064.1007755718</v>
      </c>
    </row>
    <row r="15" customFormat="false" ht="15" hidden="false" customHeight="false" outlineLevel="0" collapsed="false">
      <c r="A15" s="4" t="s">
        <v>271</v>
      </c>
      <c r="B15" s="38" t="n">
        <f aca="false">B14/MAX(B8,1)</f>
        <v>-1.08705298105984</v>
      </c>
      <c r="C15" s="38" t="n">
        <f aca="false">C14/MAX(C8,1)</f>
        <v>0.105211352860228</v>
      </c>
      <c r="D15" s="38" t="n">
        <f aca="false">D14/MAX(D8,1)</f>
        <v>0.166266633646106</v>
      </c>
      <c r="E15" s="38" t="n">
        <f aca="false">E14/MAX(E8,1)</f>
        <v>-0.0595712316774052</v>
      </c>
      <c r="F15" s="38" t="n">
        <f aca="false">F14/MAX(F8,1)</f>
        <v>0.0626661659727183</v>
      </c>
    </row>
    <row r="16" customFormat="false" ht="15" hidden="false" customHeight="false" outlineLevel="0" collapsed="false">
      <c r="A16" s="4" t="s">
        <v>272</v>
      </c>
      <c r="B16" s="36" t="n">
        <f aca="false">B14</f>
        <v>-206651.456045609</v>
      </c>
      <c r="C16" s="36" t="n">
        <f aca="false">B16+C14</f>
        <v>-152050.096542224</v>
      </c>
      <c r="D16" s="36" t="n">
        <f aca="false">C16+D14</f>
        <v>41479.1268036171</v>
      </c>
      <c r="E16" s="36" t="n">
        <f aca="false">D16+E14</f>
        <v>-62735.2040580208</v>
      </c>
      <c r="F16" s="36" t="n">
        <f aca="false">E16+F14</f>
        <v>69064.1007755718</v>
      </c>
      <c r="G16" s="36" t="n">
        <f aca="false">F16</f>
        <v>69064.1007755718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9" min="2" style="0" width="11"/>
  </cols>
  <sheetData>
    <row r="1" customFormat="false" ht="15" hidden="false" customHeight="false" outlineLevel="0" collapsed="false">
      <c r="A1" s="30" t="s">
        <v>273</v>
      </c>
    </row>
    <row r="2" customFormat="false" ht="15" hidden="false" customHeight="false" outlineLevel="0" collapsed="false">
      <c r="A2" s="31" t="s">
        <v>274</v>
      </c>
    </row>
    <row r="4" customFormat="false" ht="15" hidden="false" customHeight="false" outlineLevel="0" collapsed="false">
      <c r="A4" s="32" t="s">
        <v>178</v>
      </c>
      <c r="B4" s="10" t="s">
        <v>179</v>
      </c>
      <c r="C4" s="10" t="s">
        <v>180</v>
      </c>
      <c r="D4" s="10" t="s">
        <v>181</v>
      </c>
      <c r="E4" s="10" t="s">
        <v>182</v>
      </c>
      <c r="F4" s="10" t="s">
        <v>183</v>
      </c>
      <c r="G4" s="10" t="s">
        <v>184</v>
      </c>
      <c r="H4" s="10" t="s">
        <v>185</v>
      </c>
      <c r="I4" s="10" t="s">
        <v>186</v>
      </c>
      <c r="J4" s="10" t="s">
        <v>187</v>
      </c>
      <c r="K4" s="10" t="s">
        <v>188</v>
      </c>
      <c r="L4" s="10" t="s">
        <v>189</v>
      </c>
      <c r="M4" s="10" t="s">
        <v>190</v>
      </c>
      <c r="N4" s="10" t="s">
        <v>191</v>
      </c>
      <c r="O4" s="10" t="s">
        <v>192</v>
      </c>
      <c r="P4" s="10" t="s">
        <v>193</v>
      </c>
      <c r="Q4" s="10" t="s">
        <v>194</v>
      </c>
      <c r="R4" s="10" t="s">
        <v>195</v>
      </c>
      <c r="S4" s="10" t="s">
        <v>196</v>
      </c>
      <c r="T4" s="10" t="s">
        <v>197</v>
      </c>
      <c r="U4" s="10" t="s">
        <v>198</v>
      </c>
      <c r="V4" s="10" t="s">
        <v>199</v>
      </c>
      <c r="W4" s="10" t="s">
        <v>200</v>
      </c>
      <c r="X4" s="10" t="s">
        <v>201</v>
      </c>
      <c r="Y4" s="10" t="s">
        <v>202</v>
      </c>
      <c r="Z4" s="10" t="s">
        <v>203</v>
      </c>
      <c r="AA4" s="10" t="s">
        <v>204</v>
      </c>
      <c r="AB4" s="10" t="s">
        <v>205</v>
      </c>
      <c r="AC4" s="10" t="s">
        <v>206</v>
      </c>
    </row>
    <row r="5" customFormat="false" ht="15" hidden="false" customHeight="false" outlineLevel="0" collapsed="false">
      <c r="A5" s="4" t="s">
        <v>275</v>
      </c>
      <c r="B5" s="36" t="n">
        <f aca="false">Revenue!B14</f>
        <v>2731.47039177964</v>
      </c>
      <c r="C5" s="36" t="n">
        <f aca="false">Revenue!C14</f>
        <v>5350.54262637063</v>
      </c>
      <c r="D5" s="36" t="n">
        <f aca="false">Revenue!D14</f>
        <v>7861.65971381224</v>
      </c>
      <c r="E5" s="36" t="n">
        <f aca="false">Revenue!E14</f>
        <v>10269.0893304994</v>
      </c>
      <c r="F5" s="36" t="n">
        <f aca="false">Revenue!F14</f>
        <v>12576.9307378428</v>
      </c>
      <c r="G5" s="36" t="n">
        <f aca="false">Revenue!G14</f>
        <v>14789.1214279195</v>
      </c>
      <c r="H5" s="36" t="n">
        <f aca="false">Revenue!H14</f>
        <v>16909.4435068879</v>
      </c>
      <c r="I5" s="36" t="n">
        <f aca="false">Revenue!I14</f>
        <v>18941.5298265129</v>
      </c>
      <c r="J5" s="36" t="n">
        <f aca="false">Revenue!J14</f>
        <v>20888.8698737434</v>
      </c>
      <c r="K5" s="36" t="n">
        <f aca="false">Revenue!K14</f>
        <v>22754.8154278867</v>
      </c>
      <c r="L5" s="36" t="n">
        <f aca="false">Revenue!L14</f>
        <v>24542.5859945527</v>
      </c>
      <c r="M5" s="36" t="n">
        <f aca="false">Revenue!M14</f>
        <v>26255.2740251749</v>
      </c>
      <c r="N5" s="36" t="n">
        <f aca="false">Revenue!N14</f>
        <v>93732.6082254185</v>
      </c>
      <c r="O5" s="36" t="n">
        <f aca="false">Revenue!O14</f>
        <v>116244.397766599</v>
      </c>
      <c r="P5" s="36" t="n">
        <f aca="false">Revenue!P14</f>
        <v>136029.748474488</v>
      </c>
      <c r="Q5" s="36" t="n">
        <f aca="false">Revenue!Q14</f>
        <v>153399.347276114</v>
      </c>
      <c r="R5" s="36" t="n">
        <f aca="false">Revenue!R14</f>
        <v>211544.35473341</v>
      </c>
      <c r="S5" s="36" t="n">
        <f aca="false">Revenue!S14</f>
        <v>262051.79549715</v>
      </c>
      <c r="T5" s="36" t="n">
        <f aca="false">Revenue!T14</f>
        <v>306441.481288782</v>
      </c>
      <c r="U5" s="36" t="n">
        <f aca="false">Revenue!U14</f>
        <v>345410.554397114</v>
      </c>
      <c r="V5" s="36" t="n">
        <f aca="false">Revenue!V14</f>
        <v>380521.149694073</v>
      </c>
      <c r="W5" s="36" t="n">
        <f aca="false">Revenue!W14</f>
        <v>411264.630088636</v>
      </c>
      <c r="X5" s="36" t="n">
        <f aca="false">Revenue!X14</f>
        <v>438139.189450341</v>
      </c>
      <c r="Y5" s="36" t="n">
        <f aca="false">Revenue!Y14</f>
        <v>461586.396929317</v>
      </c>
      <c r="Z5" s="36" t="n">
        <f aca="false">Revenue!Z14</f>
        <v>482957.607418674</v>
      </c>
      <c r="AA5" s="36" t="n">
        <f aca="false">Revenue!AA14</f>
        <v>501525.77796399</v>
      </c>
      <c r="AB5" s="36" t="n">
        <f aca="false">Revenue!AB14</f>
        <v>517611.346299478</v>
      </c>
      <c r="AC5" s="36" t="n">
        <f aca="false">Revenue!AC14</f>
        <v>531498.325813042</v>
      </c>
    </row>
    <row r="6" customFormat="false" ht="15" hidden="false" customHeight="false" outlineLevel="0" collapsed="false">
      <c r="A6" s="4" t="s">
        <v>276</v>
      </c>
      <c r="B6" s="36" t="n">
        <f aca="false">-Costs!B10-Costs!B16</f>
        <v>-32534.5411021207</v>
      </c>
      <c r="C6" s="36" t="n">
        <f aca="false">-Costs!C10-Costs!C16</f>
        <v>-32536.4183100481</v>
      </c>
      <c r="D6" s="36" t="n">
        <f aca="false">-Costs!D10-Costs!D16</f>
        <v>-32538.2181416223</v>
      </c>
      <c r="E6" s="36" t="n">
        <f aca="false">-Costs!E10-Costs!E16</f>
        <v>-32539.9436556808</v>
      </c>
      <c r="F6" s="36" t="n">
        <f aca="false">-Costs!F10-Costs!F16</f>
        <v>-32541.5977903502</v>
      </c>
      <c r="G6" s="36" t="n">
        <f aca="false">-Costs!G10-Costs!G16</f>
        <v>-32543.1833678098</v>
      </c>
      <c r="H6" s="36" t="n">
        <f aca="false">-Costs!H10-Costs!H16</f>
        <v>-32544.7030988667</v>
      </c>
      <c r="I6" s="36" t="n">
        <f aca="false">-Costs!I10-Costs!I16</f>
        <v>-32546.1595873507</v>
      </c>
      <c r="J6" s="36" t="n">
        <f aca="false">-Costs!J10-Costs!J16</f>
        <v>-32547.5553343353</v>
      </c>
      <c r="K6" s="36" t="n">
        <f aca="false">-Costs!K10-Costs!K16</f>
        <v>-32548.8927421929</v>
      </c>
      <c r="L6" s="36" t="n">
        <f aca="false">-Costs!L10-Costs!L16</f>
        <v>-32550.1741184894</v>
      </c>
      <c r="M6" s="36" t="n">
        <f aca="false">-Costs!M10-Costs!M16</f>
        <v>-32551.4016797249</v>
      </c>
      <c r="N6" s="36" t="n">
        <f aca="false">-Costs!N10-Costs!N16</f>
        <v>-111175.404516197</v>
      </c>
      <c r="O6" s="36" t="n">
        <f aca="false">-Costs!O10-Costs!O16</f>
        <v>-111194.054825397</v>
      </c>
      <c r="P6" s="36" t="n">
        <f aca="false">-Costs!P10-Costs!P16</f>
        <v>-111210.446365823</v>
      </c>
      <c r="Q6" s="36" t="n">
        <f aca="false">-Costs!Q10-Costs!Q16</f>
        <v>-111224.836531818</v>
      </c>
      <c r="R6" s="36" t="n">
        <f aca="false">-Costs!R10-Costs!R16</f>
        <v>-232922.174061164</v>
      </c>
      <c r="S6" s="36" t="n">
        <f aca="false">-Costs!S10-Costs!S16</f>
        <v>-232963.818816696</v>
      </c>
      <c r="T6" s="36" t="n">
        <f aca="false">-Costs!T10-Costs!T16</f>
        <v>-233000.419317236</v>
      </c>
      <c r="U6" s="36" t="n">
        <f aca="false">-Costs!U10-Costs!U16</f>
        <v>-233032.550375519</v>
      </c>
      <c r="V6" s="36" t="n">
        <f aca="false">-Costs!V10-Costs!V16</f>
        <v>-448896.500014139</v>
      </c>
      <c r="W6" s="36" t="n">
        <f aca="false">-Costs!W10-Costs!W16</f>
        <v>-448921.848848011</v>
      </c>
      <c r="X6" s="36" t="n">
        <f aca="false">-Costs!X10-Costs!X16</f>
        <v>-448944.0076515</v>
      </c>
      <c r="Y6" s="36" t="n">
        <f aca="false">-Costs!Y10-Costs!Y16</f>
        <v>-448963.340510354</v>
      </c>
      <c r="Z6" s="36" t="n">
        <f aca="false">-Costs!Z10-Costs!Z16</f>
        <v>-475427.461653354</v>
      </c>
      <c r="AA6" s="36" t="n">
        <f aca="false">-Costs!AA10-Costs!AA16</f>
        <v>-475442.771613854</v>
      </c>
      <c r="AB6" s="36" t="n">
        <f aca="false">-Costs!AB10-Costs!AB16</f>
        <v>-475456.034601461</v>
      </c>
      <c r="AC6" s="36" t="n">
        <f aca="false">-Costs!AC10-Costs!AC16</f>
        <v>-475467.484792922</v>
      </c>
    </row>
    <row r="7" customFormat="false" ht="15" hidden="false" customHeight="false" outlineLevel="0" collapsed="false">
      <c r="A7" s="4" t="s">
        <v>277</v>
      </c>
      <c r="B7" s="36" t="n">
        <f aca="false">-Revenue!B10</f>
        <v>-0</v>
      </c>
      <c r="C7" s="36" t="n">
        <f aca="false">-Revenue!C10</f>
        <v>-0</v>
      </c>
      <c r="D7" s="36" t="n">
        <f aca="false">-Revenue!D10</f>
        <v>-0</v>
      </c>
      <c r="E7" s="36" t="n">
        <f aca="false">-Revenue!E10</f>
        <v>-0</v>
      </c>
      <c r="F7" s="36" t="n">
        <f aca="false">-Revenue!F10</f>
        <v>-0</v>
      </c>
      <c r="G7" s="36" t="n">
        <f aca="false">-Revenue!G10</f>
        <v>-0</v>
      </c>
      <c r="H7" s="36" t="n">
        <f aca="false">-Revenue!H10</f>
        <v>-0</v>
      </c>
      <c r="I7" s="36" t="n">
        <f aca="false">-Revenue!I10</f>
        <v>-0</v>
      </c>
      <c r="J7" s="36" t="n">
        <f aca="false">-Revenue!J10</f>
        <v>-0</v>
      </c>
      <c r="K7" s="36" t="n">
        <f aca="false">-Revenue!K10</f>
        <v>-0</v>
      </c>
      <c r="L7" s="36" t="n">
        <f aca="false">-Revenue!L10</f>
        <v>-0</v>
      </c>
      <c r="M7" s="36" t="n">
        <f aca="false">-Revenue!M10</f>
        <v>-0</v>
      </c>
      <c r="N7" s="36" t="n">
        <f aca="false">-Revenue!N10</f>
        <v>-14610.6308465566</v>
      </c>
      <c r="O7" s="36" t="n">
        <f aca="false">-Revenue!O10</f>
        <v>-18119.6705810593</v>
      </c>
      <c r="P7" s="36" t="n">
        <f aca="false">-Revenue!P10</f>
        <v>-21203.7249014877</v>
      </c>
      <c r="Q7" s="36" t="n">
        <f aca="false">-Revenue!Q10</f>
        <v>-23911.2223332568</v>
      </c>
      <c r="R7" s="36" t="n">
        <f aca="false">-Revenue!R10</f>
        <v>-32817.7380176283</v>
      </c>
      <c r="S7" s="36" t="n">
        <f aca="false">-Revenue!S10</f>
        <v>-40653.1631747502</v>
      </c>
      <c r="T7" s="36" t="n">
        <f aca="false">-Revenue!T10</f>
        <v>-47539.5160667025</v>
      </c>
      <c r="U7" s="36" t="n">
        <f aca="false">-Revenue!U10</f>
        <v>-53584.9472183431</v>
      </c>
      <c r="V7" s="36" t="n">
        <f aca="false">-Revenue!V10</f>
        <v>-59031.7969797118</v>
      </c>
      <c r="W7" s="36" t="n">
        <f aca="false">-Revenue!W10</f>
        <v>-63801.1584056421</v>
      </c>
      <c r="X7" s="36" t="n">
        <f aca="false">-Revenue!X10</f>
        <v>-67970.3183417845</v>
      </c>
      <c r="Y7" s="36" t="n">
        <f aca="false">-Revenue!Y10</f>
        <v>-71607.7792102615</v>
      </c>
      <c r="Z7" s="36" t="n">
        <f aca="false">-Revenue!Z10</f>
        <v>-74923.1822038473</v>
      </c>
      <c r="AA7" s="36" t="n">
        <f aca="false">-Revenue!AA10</f>
        <v>-77803.7381855503</v>
      </c>
      <c r="AB7" s="36" t="n">
        <f aca="false">-Revenue!AB10</f>
        <v>-80299.157967203</v>
      </c>
      <c r="AC7" s="36" t="n">
        <f aca="false">-Revenue!AC10</f>
        <v>-82453.501703327</v>
      </c>
    </row>
    <row r="8" customFormat="false" ht="15" hidden="false" customHeight="false" outlineLevel="0" collapsed="false">
      <c r="A8" s="4" t="s">
        <v>278</v>
      </c>
      <c r="B8" s="36" t="n">
        <f aca="false">B5+B6+B7</f>
        <v>-29803.0707103411</v>
      </c>
      <c r="C8" s="36" t="n">
        <f aca="false">C5+C6+C7</f>
        <v>-27185.8756836774</v>
      </c>
      <c r="D8" s="36" t="n">
        <f aca="false">D5+D6+D7</f>
        <v>-24676.5584278101</v>
      </c>
      <c r="E8" s="36" t="n">
        <f aca="false">E5+E6+E7</f>
        <v>-22270.8543251814</v>
      </c>
      <c r="F8" s="36" t="n">
        <f aca="false">F5+F6+F7</f>
        <v>-19964.6670525075</v>
      </c>
      <c r="G8" s="36" t="n">
        <f aca="false">G5+G6+G7</f>
        <v>-17754.0619398903</v>
      </c>
      <c r="H8" s="36" t="n">
        <f aca="false">H5+H6+H7</f>
        <v>-15635.2595919789</v>
      </c>
      <c r="I8" s="36" t="n">
        <f aca="false">I5+I6+I7</f>
        <v>-13604.6297608378</v>
      </c>
      <c r="J8" s="36" t="n">
        <f aca="false">J5+J6+J7</f>
        <v>-11658.6854605919</v>
      </c>
      <c r="K8" s="36" t="n">
        <f aca="false">K5+K6+K7</f>
        <v>-9794.07731430625</v>
      </c>
      <c r="L8" s="36" t="n">
        <f aca="false">L5+L6+L7</f>
        <v>-8007.58812393665</v>
      </c>
      <c r="M8" s="36" t="n">
        <f aca="false">M5+M6+M7</f>
        <v>-6296.12765454998</v>
      </c>
      <c r="N8" s="36" t="n">
        <f aca="false">N5+N6+N7</f>
        <v>-32053.4271373348</v>
      </c>
      <c r="O8" s="36" t="n">
        <f aca="false">O5+O6+O7</f>
        <v>-13069.3276398568</v>
      </c>
      <c r="P8" s="36" t="n">
        <f aca="false">P5+P6+P7</f>
        <v>3615.57720717744</v>
      </c>
      <c r="Q8" s="36" t="n">
        <f aca="false">Q5+Q6+Q7</f>
        <v>18263.2884110392</v>
      </c>
      <c r="R8" s="36" t="n">
        <f aca="false">R5+R6+R7</f>
        <v>-54195.5573453822</v>
      </c>
      <c r="S8" s="36" t="n">
        <f aca="false">S5+S6+S7</f>
        <v>-11565.1864942966</v>
      </c>
      <c r="T8" s="36" t="n">
        <f aca="false">T5+T6+T7</f>
        <v>25901.5459048433</v>
      </c>
      <c r="U8" s="36" t="n">
        <f aca="false">U5+U6+U7</f>
        <v>58793.0568032523</v>
      </c>
      <c r="V8" s="36" t="n">
        <f aca="false">V5+V6+V7</f>
        <v>-127407.147299777</v>
      </c>
      <c r="W8" s="36" t="n">
        <f aca="false">W5+W6+W7</f>
        <v>-101458.377165017</v>
      </c>
      <c r="X8" s="36" t="n">
        <f aca="false">X5+X6+X7</f>
        <v>-78775.1365429441</v>
      </c>
      <c r="Y8" s="36" t="n">
        <f aca="false">Y5+Y6+Y7</f>
        <v>-58984.7227912994</v>
      </c>
      <c r="Z8" s="36" t="n">
        <f aca="false">Z5+Z6+Z7</f>
        <v>-67393.036438528</v>
      </c>
      <c r="AA8" s="36" t="n">
        <f aca="false">AA5+AA6+AA7</f>
        <v>-51720.7318354145</v>
      </c>
      <c r="AB8" s="36" t="n">
        <f aca="false">AB5+AB6+AB7</f>
        <v>-38143.8462691859</v>
      </c>
      <c r="AC8" s="36" t="n">
        <f aca="false">AC5+AC6+AC7</f>
        <v>-26422.6606832064</v>
      </c>
    </row>
    <row r="9" customFormat="false" ht="15" hidden="false" customHeight="false" outlineLevel="0" collapsed="false">
      <c r="A9" s="4" t="s">
        <v>279</v>
      </c>
      <c r="B9" s="36" t="n">
        <v>0</v>
      </c>
      <c r="C9" s="36" t="n">
        <f aca="false">B10</f>
        <v>-29803.0707103411</v>
      </c>
      <c r="D9" s="36" t="n">
        <f aca="false">C10</f>
        <v>-56988.9463940185</v>
      </c>
      <c r="E9" s="36" t="n">
        <f aca="false">D10</f>
        <v>-81665.5048218286</v>
      </c>
      <c r="F9" s="36" t="n">
        <f aca="false">E10</f>
        <v>-103936.35914701</v>
      </c>
      <c r="G9" s="36" t="n">
        <f aca="false">F10</f>
        <v>-123901.026199518</v>
      </c>
      <c r="H9" s="36" t="n">
        <f aca="false">G10</f>
        <v>-141655.088139408</v>
      </c>
      <c r="I9" s="36" t="n">
        <f aca="false">H10</f>
        <v>-157290.347731387</v>
      </c>
      <c r="J9" s="36" t="n">
        <f aca="false">I10</f>
        <v>-170894.977492224</v>
      </c>
      <c r="K9" s="36" t="n">
        <f aca="false">J10</f>
        <v>-182553.662952816</v>
      </c>
      <c r="L9" s="36" t="n">
        <f aca="false">K10</f>
        <v>-192347.740267123</v>
      </c>
      <c r="M9" s="36" t="n">
        <f aca="false">L10</f>
        <v>-200355.328391059</v>
      </c>
      <c r="N9" s="36" t="n">
        <f aca="false">M10</f>
        <v>-206651.456045609</v>
      </c>
      <c r="O9" s="36" t="n">
        <f aca="false">N10</f>
        <v>-238704.883182944</v>
      </c>
      <c r="P9" s="36" t="n">
        <f aca="false">O10</f>
        <v>-251774.210822801</v>
      </c>
      <c r="Q9" s="36" t="n">
        <f aca="false">P10</f>
        <v>-248158.633615623</v>
      </c>
      <c r="R9" s="36" t="n">
        <f aca="false">Q10</f>
        <v>-229895.345204584</v>
      </c>
      <c r="S9" s="36" t="n">
        <f aca="false">R10</f>
        <v>-284090.902549966</v>
      </c>
      <c r="T9" s="36" t="n">
        <f aca="false">S10</f>
        <v>-295656.089044263</v>
      </c>
      <c r="U9" s="36" t="n">
        <f aca="false">T10</f>
        <v>-269754.54313942</v>
      </c>
      <c r="V9" s="36" t="n">
        <f aca="false">U10</f>
        <v>-210961.486336167</v>
      </c>
      <c r="W9" s="36" t="n">
        <f aca="false">V10</f>
        <v>-338368.633635945</v>
      </c>
      <c r="X9" s="36" t="n">
        <f aca="false">W10</f>
        <v>-439827.010800962</v>
      </c>
      <c r="Y9" s="36" t="n">
        <f aca="false">X10</f>
        <v>-518602.147343906</v>
      </c>
      <c r="Z9" s="36" t="n">
        <f aca="false">Y10</f>
        <v>-577586.870135205</v>
      </c>
      <c r="AA9" s="36" t="n">
        <f aca="false">Z10</f>
        <v>-644979.906573733</v>
      </c>
      <c r="AB9" s="36" t="n">
        <f aca="false">AA10</f>
        <v>-696700.638409148</v>
      </c>
      <c r="AC9" s="36" t="n">
        <f aca="false">AB10</f>
        <v>-734844.484678334</v>
      </c>
    </row>
    <row r="10" customFormat="false" ht="15" hidden="false" customHeight="false" outlineLevel="0" collapsed="false">
      <c r="A10" s="4" t="s">
        <v>280</v>
      </c>
      <c r="B10" s="36" t="n">
        <f aca="false">B9+B8</f>
        <v>-29803.0707103411</v>
      </c>
      <c r="C10" s="36" t="n">
        <f aca="false">C9+C8</f>
        <v>-56988.9463940185</v>
      </c>
      <c r="D10" s="36" t="n">
        <f aca="false">D9+D8</f>
        <v>-81665.5048218286</v>
      </c>
      <c r="E10" s="36" t="n">
        <f aca="false">E9+E8</f>
        <v>-103936.35914701</v>
      </c>
      <c r="F10" s="36" t="n">
        <f aca="false">F9+F8</f>
        <v>-123901.026199518</v>
      </c>
      <c r="G10" s="36" t="n">
        <f aca="false">G9+G8</f>
        <v>-141655.088139408</v>
      </c>
      <c r="H10" s="36" t="n">
        <f aca="false">H9+H8</f>
        <v>-157290.347731387</v>
      </c>
      <c r="I10" s="36" t="n">
        <f aca="false">I9+I8</f>
        <v>-170894.977492224</v>
      </c>
      <c r="J10" s="36" t="n">
        <f aca="false">J9+J8</f>
        <v>-182553.662952816</v>
      </c>
      <c r="K10" s="36" t="n">
        <f aca="false">K9+K8</f>
        <v>-192347.740267123</v>
      </c>
      <c r="L10" s="36" t="n">
        <f aca="false">L9+L8</f>
        <v>-200355.328391059</v>
      </c>
      <c r="M10" s="36" t="n">
        <f aca="false">M9+M8</f>
        <v>-206651.456045609</v>
      </c>
      <c r="N10" s="36" t="n">
        <f aca="false">N9+N8</f>
        <v>-238704.883182944</v>
      </c>
      <c r="O10" s="36" t="n">
        <f aca="false">O9+O8</f>
        <v>-251774.210822801</v>
      </c>
      <c r="P10" s="36" t="n">
        <f aca="false">P9+P8</f>
        <v>-248158.633615623</v>
      </c>
      <c r="Q10" s="36" t="n">
        <f aca="false">Q9+Q8</f>
        <v>-229895.345204584</v>
      </c>
      <c r="R10" s="36" t="n">
        <f aca="false">R9+R8</f>
        <v>-284090.902549966</v>
      </c>
      <c r="S10" s="36" t="n">
        <f aca="false">S9+S8</f>
        <v>-295656.089044263</v>
      </c>
      <c r="T10" s="36" t="n">
        <f aca="false">T9+T8</f>
        <v>-269754.54313942</v>
      </c>
      <c r="U10" s="36" t="n">
        <f aca="false">U9+U8</f>
        <v>-210961.486336167</v>
      </c>
      <c r="V10" s="36" t="n">
        <f aca="false">V9+V8</f>
        <v>-338368.633635945</v>
      </c>
      <c r="W10" s="36" t="n">
        <f aca="false">W9+W8</f>
        <v>-439827.010800962</v>
      </c>
      <c r="X10" s="36" t="n">
        <f aca="false">X9+X8</f>
        <v>-518602.147343906</v>
      </c>
      <c r="Y10" s="36" t="n">
        <f aca="false">Y9+Y8</f>
        <v>-577586.870135205</v>
      </c>
      <c r="Z10" s="36" t="n">
        <f aca="false">Z9+Z8</f>
        <v>-644979.906573733</v>
      </c>
      <c r="AA10" s="36" t="n">
        <f aca="false">AA9+AA8</f>
        <v>-696700.638409148</v>
      </c>
      <c r="AB10" s="36" t="n">
        <f aca="false">AB9+AB8</f>
        <v>-734844.484678334</v>
      </c>
      <c r="AC10" s="36" t="n">
        <f aca="false">AC9+AC8</f>
        <v>-761267.14536154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8"/>
  </cols>
  <sheetData>
    <row r="1" customFormat="false" ht="15" hidden="false" customHeight="false" outlineLevel="0" collapsed="false">
      <c r="A1" s="30" t="s">
        <v>281</v>
      </c>
    </row>
    <row r="3" customFormat="false" ht="15" hidden="false" customHeight="false" outlineLevel="0" collapsed="false">
      <c r="A3" s="39" t="s">
        <v>282</v>
      </c>
    </row>
    <row r="4" customFormat="false" ht="15" hidden="false" customHeight="false" outlineLevel="0" collapsed="false">
      <c r="A4" s="40" t="s">
        <v>283</v>
      </c>
      <c r="B4" s="41" t="n">
        <f aca="false">plans_per_prac*credits_per_plan*rev_per_credit/credit_consume/(1+vat)</f>
        <v>1047.31457800512</v>
      </c>
    </row>
    <row r="5" customFormat="false" ht="15" hidden="false" customHeight="false" outlineLevel="0" collapsed="false">
      <c r="A5" s="40" t="s">
        <v>267</v>
      </c>
      <c r="B5" s="42" t="n">
        <f aca="false">1-pf_pct_early</f>
        <v>0.969</v>
      </c>
    </row>
    <row r="6" customFormat="false" ht="15" hidden="false" customHeight="false" outlineLevel="0" collapsed="false">
      <c r="A6" s="40" t="s">
        <v>284</v>
      </c>
      <c r="B6" s="41" t="n">
        <f aca="false">B4*B5</f>
        <v>1014.84782608696</v>
      </c>
    </row>
    <row r="7" customFormat="false" ht="15" hidden="false" customHeight="false" outlineLevel="0" collapsed="false">
      <c r="A7" s="40" t="s">
        <v>285</v>
      </c>
      <c r="B7" s="43" t="n">
        <f aca="false">1/churn</f>
        <v>25</v>
      </c>
    </row>
    <row r="8" customFormat="false" ht="15" hidden="false" customHeight="false" outlineLevel="0" collapsed="false">
      <c r="A8" s="40" t="s">
        <v>286</v>
      </c>
      <c r="B8" s="41" t="n">
        <f aca="false">B6*B7</f>
        <v>25371.1956521739</v>
      </c>
    </row>
    <row r="9" customFormat="false" ht="15" hidden="false" customHeight="false" outlineLevel="0" collapsed="false">
      <c r="A9" s="40" t="s">
        <v>287</v>
      </c>
      <c r="B9" s="41" t="n">
        <f aca="false">mix_warm*0+mix_paid*paid_cac_sa+mix_ref*ref_cost</f>
        <v>166</v>
      </c>
    </row>
    <row r="10" customFormat="false" ht="15" hidden="false" customHeight="false" outlineLevel="0" collapsed="false">
      <c r="A10" s="40" t="s">
        <v>288</v>
      </c>
      <c r="B10" s="43" t="n">
        <f aca="false">B8/MAX(B9,1)</f>
        <v>152.838528025144</v>
      </c>
    </row>
    <row r="11" customFormat="false" ht="15" hidden="false" customHeight="false" outlineLevel="0" collapsed="false">
      <c r="A11" s="40" t="s">
        <v>289</v>
      </c>
      <c r="B11" s="43" t="n">
        <f aca="false">B9/MAX(B6,1)</f>
        <v>0.163571321466058</v>
      </c>
    </row>
    <row r="12" customFormat="false" ht="15" hidden="false" customHeight="false" outlineLevel="0" collapsed="false">
      <c r="A12" s="40" t="s">
        <v>290</v>
      </c>
      <c r="B12" s="43" t="n">
        <f aca="false">650*5*0.05*52/12/B4</f>
        <v>0.672354497354497</v>
      </c>
    </row>
    <row r="14" customFormat="false" ht="15" hidden="false" customHeight="false" outlineLevel="0" collapsed="false">
      <c r="A14" s="39" t="s">
        <v>291</v>
      </c>
    </row>
    <row r="15" customFormat="false" ht="15" hidden="false" customHeight="false" outlineLevel="0" collapsed="false">
      <c r="A15" s="32" t="s">
        <v>178</v>
      </c>
      <c r="B15" s="32" t="s">
        <v>292</v>
      </c>
      <c r="C15" s="32" t="s">
        <v>293</v>
      </c>
      <c r="D15" s="32" t="s">
        <v>294</v>
      </c>
    </row>
    <row r="16" customFormat="false" ht="15" hidden="false" customHeight="false" outlineLevel="0" collapsed="false">
      <c r="A16" s="0" t="s">
        <v>295</v>
      </c>
      <c r="C16" s="33" t="n">
        <f aca="false">Growth!AC16</f>
        <v>174.952213626378</v>
      </c>
    </row>
    <row r="17" customFormat="false" ht="15" hidden="false" customHeight="false" outlineLevel="0" collapsed="false">
      <c r="A17" s="0" t="s">
        <v>296</v>
      </c>
      <c r="C17" s="36" t="n">
        <f aca="false">SUM(Revenue!Z9:AC9)</f>
        <v>2418676.78045944</v>
      </c>
    </row>
    <row r="18" customFormat="false" ht="15" hidden="false" customHeight="false" outlineLevel="0" collapsed="false">
      <c r="A18" s="0" t="s">
        <v>297</v>
      </c>
      <c r="C18" s="36" t="n">
        <f aca="false">'P&amp;L'!F14</f>
        <v>131799.304833593</v>
      </c>
    </row>
    <row r="19" customFormat="false" ht="15" hidden="false" customHeight="false" outlineLevel="0" collapsed="false">
      <c r="A19" s="0" t="s">
        <v>298</v>
      </c>
      <c r="C19" s="38" t="n">
        <f aca="false">'P&amp;L'!F15</f>
        <v>0.0626661659727183</v>
      </c>
    </row>
    <row r="20" customFormat="false" ht="15" hidden="false" customHeight="false" outlineLevel="0" collapsed="false">
      <c r="A20" s="0" t="s">
        <v>299</v>
      </c>
      <c r="C20" s="36" t="n">
        <f aca="false">'P&amp;L'!F16</f>
        <v>69064.1007755718</v>
      </c>
    </row>
    <row r="22" customFormat="false" ht="15" hidden="false" customHeight="false" outlineLevel="0" collapsed="false">
      <c r="A22" s="5" t="s">
        <v>300</v>
      </c>
    </row>
    <row r="23" customFormat="false" ht="15" hidden="false" customHeight="false" outlineLevel="0" collapsed="false">
      <c r="A23" s="5" t="s">
        <v>301</v>
      </c>
    </row>
    <row r="25" customFormat="false" ht="15" hidden="false" customHeight="false" outlineLevel="0" collapsed="false">
      <c r="A25" s="44" t="s">
        <v>302</v>
      </c>
    </row>
    <row r="26" customFormat="false" ht="15" hidden="false" customHeight="false" outlineLevel="0" collapsed="false">
      <c r="A26" s="44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8"/>
  </cols>
  <sheetData>
    <row r="1" customFormat="false" ht="15" hidden="false" customHeight="false" outlineLevel="0" collapsed="false">
      <c r="A1" s="30" t="s">
        <v>304</v>
      </c>
    </row>
    <row r="3" customFormat="false" ht="23.85" hidden="false" customHeight="true" outlineLevel="0" collapsed="false">
      <c r="A3" s="45" t="s">
        <v>305</v>
      </c>
      <c r="B3" s="45"/>
      <c r="C3" s="45"/>
      <c r="D3" s="45"/>
      <c r="E3" s="45"/>
    </row>
    <row r="5" customFormat="false" ht="15" hidden="false" customHeight="false" outlineLevel="0" collapsed="false">
      <c r="A5" s="10" t="s">
        <v>306</v>
      </c>
      <c r="B5" s="10" t="s">
        <v>307</v>
      </c>
      <c r="C5" s="10" t="s">
        <v>308</v>
      </c>
      <c r="D5" s="10" t="s">
        <v>309</v>
      </c>
      <c r="E5" s="10" t="s">
        <v>310</v>
      </c>
    </row>
    <row r="6" customFormat="false" ht="15" hidden="false" customHeight="false" outlineLevel="0" collapsed="false">
      <c r="A6" s="40" t="s">
        <v>311</v>
      </c>
      <c r="B6" s="46" t="s">
        <v>312</v>
      </c>
      <c r="C6" s="46" t="s">
        <v>313</v>
      </c>
      <c r="D6" s="46" t="s">
        <v>314</v>
      </c>
      <c r="E6" s="46" t="s">
        <v>315</v>
      </c>
    </row>
    <row r="7" customFormat="false" ht="15" hidden="false" customHeight="false" outlineLevel="0" collapsed="false">
      <c r="A7" s="40" t="s">
        <v>316</v>
      </c>
      <c r="B7" s="46" t="s">
        <v>312</v>
      </c>
      <c r="C7" s="46" t="s">
        <v>313</v>
      </c>
      <c r="D7" s="46" t="s">
        <v>314</v>
      </c>
      <c r="E7" s="46" t="s">
        <v>315</v>
      </c>
    </row>
    <row r="8" customFormat="false" ht="15" hidden="false" customHeight="false" outlineLevel="0" collapsed="false">
      <c r="A8" s="40" t="s">
        <v>317</v>
      </c>
      <c r="B8" s="46" t="s">
        <v>312</v>
      </c>
      <c r="C8" s="46" t="s">
        <v>313</v>
      </c>
      <c r="D8" s="46" t="s">
        <v>314</v>
      </c>
      <c r="E8" s="46" t="s">
        <v>315</v>
      </c>
    </row>
    <row r="9" customFormat="false" ht="15" hidden="false" customHeight="false" outlineLevel="0" collapsed="false">
      <c r="A9" s="40" t="s">
        <v>318</v>
      </c>
      <c r="B9" s="46" t="s">
        <v>312</v>
      </c>
      <c r="C9" s="46" t="s">
        <v>313</v>
      </c>
      <c r="D9" s="46" t="s">
        <v>314</v>
      </c>
      <c r="E9" s="46" t="s">
        <v>315</v>
      </c>
    </row>
    <row r="10" customFormat="false" ht="15" hidden="false" customHeight="false" outlineLevel="0" collapsed="false">
      <c r="A10" s="40" t="s">
        <v>319</v>
      </c>
      <c r="B10" s="46" t="s">
        <v>312</v>
      </c>
      <c r="C10" s="46" t="s">
        <v>313</v>
      </c>
      <c r="D10" s="46" t="s">
        <v>314</v>
      </c>
      <c r="E10" s="46" t="s">
        <v>315</v>
      </c>
    </row>
    <row r="11" customFormat="false" ht="15" hidden="false" customHeight="false" outlineLevel="0" collapsed="false">
      <c r="A11" s="40" t="s">
        <v>320</v>
      </c>
      <c r="B11" s="46" t="s">
        <v>312</v>
      </c>
      <c r="C11" s="46" t="s">
        <v>313</v>
      </c>
      <c r="D11" s="46" t="s">
        <v>314</v>
      </c>
      <c r="E11" s="46" t="s">
        <v>315</v>
      </c>
    </row>
    <row r="12" customFormat="false" ht="15" hidden="false" customHeight="false" outlineLevel="0" collapsed="false">
      <c r="A12" s="40" t="s">
        <v>321</v>
      </c>
      <c r="B12" s="46" t="s">
        <v>312</v>
      </c>
      <c r="C12" s="46" t="s">
        <v>313</v>
      </c>
      <c r="D12" s="46" t="s">
        <v>314</v>
      </c>
      <c r="E12" s="46" t="s">
        <v>315</v>
      </c>
    </row>
    <row r="13" customFormat="false" ht="15" hidden="false" customHeight="false" outlineLevel="0" collapsed="false">
      <c r="A13" s="40" t="s">
        <v>322</v>
      </c>
      <c r="B13" s="46" t="s">
        <v>312</v>
      </c>
      <c r="C13" s="46" t="s">
        <v>313</v>
      </c>
      <c r="D13" s="46" t="s">
        <v>314</v>
      </c>
      <c r="E13" s="46" t="s">
        <v>315</v>
      </c>
    </row>
    <row r="16" customFormat="false" ht="16.15" hidden="false" customHeight="false" outlineLevel="0" collapsed="false">
      <c r="A16" s="39" t="s">
        <v>323</v>
      </c>
      <c r="B16" s="47" t="n">
        <f aca="false">'P&amp;L'!F14</f>
        <v>131799.304833593</v>
      </c>
    </row>
  </sheetData>
  <mergeCells count="1">
    <mergeCell ref="A3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LibreOffice/26.2.2.2$MacOSX_AARCH64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2026-04-20T11:00:51Z</dcterms:created>
  <dc:creator>openpyxl</dc:creator>
  <dc:description/>
  <dc:language>en-US</dc:language>
  <cp:lastModifiedBy/>
  <dcterms:modified xsi:type="dcterms:W3CDTF">2026-04-20T11:46:58Z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