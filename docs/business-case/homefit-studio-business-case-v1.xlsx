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Growth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Flow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Sensitivity" sheetId="9" state="visible" r:id="rId9"/>
  </sheets>
  <definedNames>
    <definedName name="scn">Assumptions!$G$6</definedName>
    <definedName name="tam_bio">Assumptions!$G$8</definedName>
    <definedName name="tam_physio">Assumptions!$G$9</definedName>
    <definedName name="tam_pt">Assumptions!$G$10</definedName>
    <definedName name="reach_sa">Assumptions!$G$11</definedName>
    <definedName name="tam_au_physio">Assumptions!$G$13</definedName>
    <definedName name="tam_au_pt">Assumptions!$G$14</definedName>
    <definedName name="tam_uk">Assumptions!$G$15</definedName>
    <definedName name="tam_nordics">Assumptions!$G$16</definedName>
    <definedName name="reach_intl">Assumptions!$G$17</definedName>
    <definedName name="intl_start_year">Assumptions!$G$18</definedName>
    <definedName name="rev_per_credit">Assumptions!$G$20</definedName>
    <definedName name="plans_per_prac">Assumptions!$G$21</definedName>
    <definedName name="credits_per_plan">Assumptions!$G$22</definedName>
    <definedName name="credit_consume">Assumptions!$G$23</definedName>
    <definedName name="signup_rate">Assumptions!$G$25</definedName>
    <definedName name="activation">Assumptions!$G$26</definedName>
    <definedName name="paid_conv">Assumptions!$G$27</definedName>
    <definedName name="ref_invites">Assumptions!$G$28</definedName>
    <definedName name="ref_conv">Assumptions!$G$29</definedName>
    <definedName name="churn">Assumptions!$G$31</definedName>
    <definedName name="early_churn">Assumptions!$G$32</definedName>
    <definedName name="warm_y1">Assumptions!$G$34</definedName>
    <definedName name="warm_yr">Assumptions!$G$35</definedName>
    <definedName name="paid_cac_sa">Assumptions!$G$36</definedName>
    <definedName name="paid_cac_intl">Assumptions!$G$37</definedName>
    <definedName name="ref_cost">Assumptions!$G$38</definedName>
    <definedName name="mix_warm">Assumptions!$G$39</definedName>
    <definedName name="mix_paid">Assumptions!$G$40</definedName>
    <definedName name="mix_ref">Assumptions!$G$41</definedName>
    <definedName name="supabase_base">Assumptions!$G$43</definedName>
    <definedName name="supabase_bw">Assumptions!$G$44</definedName>
    <definedName name="vercel_base">Assumptions!$G$45</definedName>
    <definedName name="vercel_bw">Assumptions!$G$46</definedName>
    <definedName name="fx">Assumptions!$G$47</definedName>
    <definedName name="domain_yr">Assumptions!$G$48</definedName>
    <definedName name="apple_dev_yr">Assumptions!$G$49</definedName>
    <definedName name="egress_mb">Assumptions!$G$50</definedName>
    <definedName name="pf_pct_early">Assumptions!$G$52</definedName>
    <definedName name="pf_pct_late">Assumptions!$G$53</definedName>
    <definedName name="pf_fixed">Assumptions!$G$54</definedName>
    <definedName name="avg_txn">Assumptions!$G$55</definedName>
    <definedName name="vat">Assumptions!$G$56</definedName>
    <definedName name="vat_yr">Assumptions!$G$57</definedName>
    <definedName name="founder_salary">Assumptions!$G$59</definedName>
    <definedName name="salary_growth">Assumptions!$G$60</definedName>
    <definedName name="mkt_floor">Assumptions!$G$61</definedName>
    <definedName name="mkt_growth">Assumptions!$G$62</definedName>
    <definedName name="legal">Assumptions!$G$63</definedName>
    <definedName name="hire1_yr">Assumptions!$G$64</definedName>
    <definedName name="hire1_sal">Assumptions!$G$65</definedName>
    <definedName name="hire2_yr">Assumptions!$G$66</definedName>
    <definedName name="hire2_sal">Assumptions!$G$67</definedName>
    <definedName name="y5_sa_target">Assumptions!$G$69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"/>
    <numFmt numFmtId="165" formatCode="0.0%"/>
    <numFmt numFmtId="166" formatCode="&quot;R&quot;#,##0.00;[Red]&quot;R&quot;-#,##0.00"/>
    <numFmt numFmtId="167" formatCode="&quot;R&quot;#,##0;[Red]&quot;R&quot;-#,##0"/>
    <numFmt numFmtId="168" formatCode="&quot;$&quot;#,##0;[Red]&quot;$&quot;-#,##0"/>
    <numFmt numFmtId="169" formatCode="$0.00"/>
  </numFmts>
  <fonts count="22">
    <font>
      <name val="Calibri"/>
      <family val="2"/>
      <color theme="1"/>
      <sz val="11"/>
      <scheme val="minor"/>
    </font>
    <font>
      <name val="Montserrat"/>
      <b val="1"/>
      <color rgb="00FF6B35"/>
      <sz val="18"/>
    </font>
    <font>
      <i val="1"/>
      <color rgb="00666666"/>
      <sz val="9"/>
    </font>
    <font>
      <i val="1"/>
      <color rgb="00888888"/>
      <sz val="9"/>
    </font>
    <font>
      <name val="Inter"/>
      <b val="1"/>
      <color rgb="00FFFFFF"/>
      <sz val="11"/>
    </font>
    <font>
      <name val="Inter"/>
      <b val="1"/>
      <color rgb="00FF6B35"/>
      <sz val="12"/>
    </font>
    <font>
      <name val="Inter"/>
      <sz val="10"/>
    </font>
    <font>
      <name val="Inter"/>
      <b val="1"/>
      <color rgb="009C4820"/>
      <sz val="10"/>
    </font>
    <font>
      <name val="Inter"/>
      <i val="1"/>
      <color rgb="00555555"/>
      <sz val="10"/>
    </font>
    <font>
      <name val="Inter"/>
      <i val="1"/>
      <color rgb="00555555"/>
      <sz val="9"/>
    </font>
    <font>
      <name val="Inter"/>
      <b val="1"/>
      <color rgb="001A1A1A"/>
      <sz val="10"/>
    </font>
    <font>
      <i val="1"/>
      <color rgb="00AAAAAA"/>
      <sz val="8"/>
    </font>
    <font>
      <b val="1"/>
      <sz val="11"/>
    </font>
    <font>
      <name val="Inter"/>
      <b val="1"/>
      <sz val="11"/>
    </font>
    <font>
      <i val="1"/>
      <color rgb="00666666"/>
    </font>
    <font>
      <i val="1"/>
      <color rgb="00AAAAAA"/>
      <sz val="9"/>
    </font>
    <font>
      <b val="1"/>
    </font>
    <font>
      <b val="1"/>
      <color rgb="00FF6B35"/>
      <sz val="13"/>
    </font>
    <font>
      <name val="Montserrat"/>
      <b val="1"/>
      <color rgb="00FF6B35"/>
      <sz val="20"/>
    </font>
    <font>
      <b val="1"/>
      <sz val="12"/>
    </font>
    <font>
      <b val="1"/>
      <color rgb="00FF6B35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262626"/>
      </patternFill>
    </fill>
    <fill>
      <patternFill patternType="solid">
        <fgColor rgb="00FFF4EC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164" fontId="7" fillId="4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64" fontId="10" fillId="5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165" fontId="10" fillId="5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166" fontId="10" fillId="5" borderId="0" applyAlignment="1" pivotButton="0" quotePrefix="0" xfId="0">
      <alignment horizontal="right" vertical="center"/>
    </xf>
    <xf numFmtId="2" fontId="7" fillId="4" borderId="0" applyAlignment="1" pivotButton="0" quotePrefix="0" xfId="0">
      <alignment horizontal="right" vertical="center"/>
    </xf>
    <xf numFmtId="2" fontId="10" fillId="5" borderId="0" applyAlignment="1" pivotButton="0" quotePrefix="0" xfId="0">
      <alignment horizontal="right" vertical="center"/>
    </xf>
    <xf numFmtId="10" fontId="7" fillId="4" borderId="0" applyAlignment="1" pivotButton="0" quotePrefix="0" xfId="0">
      <alignment horizontal="right" vertical="center"/>
    </xf>
    <xf numFmtId="10" fontId="10" fillId="5" borderId="0" applyAlignment="1" pivotButton="0" quotePrefix="0" xfId="0">
      <alignment horizontal="right" vertical="center"/>
    </xf>
    <xf numFmtId="167" fontId="7" fillId="4" borderId="0" applyAlignment="1" pivotButton="0" quotePrefix="0" xfId="0">
      <alignment horizontal="right" vertical="center"/>
    </xf>
    <xf numFmtId="167" fontId="10" fillId="5" borderId="0" applyAlignment="1" pivotButton="0" quotePrefix="0" xfId="0">
      <alignment horizontal="right" vertical="center"/>
    </xf>
    <xf numFmtId="168" fontId="7" fillId="4" borderId="0" applyAlignment="1" pivotButton="0" quotePrefix="0" xfId="0">
      <alignment horizontal="right" vertical="center"/>
    </xf>
    <xf numFmtId="168" fontId="10" fillId="5" borderId="0" applyAlignment="1" pivotButton="0" quotePrefix="0" xfId="0">
      <alignment horizontal="right" vertical="center"/>
    </xf>
    <xf numFmtId="169" fontId="7" fillId="4" borderId="0" applyAlignment="1" pivotButton="0" quotePrefix="0" xfId="0">
      <alignment horizontal="right" vertical="center"/>
    </xf>
    <xf numFmtId="169" fontId="10" fillId="5" borderId="0" applyAlignment="1" pivotButton="0" quotePrefix="0" xfId="0">
      <alignment horizontal="right" vertical="center"/>
    </xf>
    <xf numFmtId="0" fontId="5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1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167" fontId="13" fillId="5" borderId="0" pivotButton="0" quotePrefix="0" xfId="0"/>
    <xf numFmtId="165" fontId="13" fillId="5" borderId="0" pivotButton="0" quotePrefix="0" xfId="0"/>
    <xf numFmtId="2" fontId="13" fillId="5" borderId="0" pivotButton="0" quotePrefix="0" xfId="0"/>
    <xf numFmtId="0" fontId="1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6" fillId="0" borderId="0" pivotButton="0" quotePrefix="0" xfId="0"/>
    <xf numFmtId="167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homefit.studio — 5-year business case model</t>
        </is>
      </c>
    </row>
    <row r="3">
      <c r="A3" s="2" t="inlineStr">
        <is>
          <t>Sheet map</t>
        </is>
      </c>
    </row>
    <row r="5">
      <c r="A5" s="3" t="inlineStr">
        <is>
          <t>Assumptions</t>
        </is>
      </c>
      <c r="B5" s="4" t="inlineStr">
        <is>
          <t>Every driver. Pale-coral cells are editable. Toggle scenario at C5 (1/2/3).</t>
        </is>
      </c>
    </row>
    <row r="6">
      <c r="A6" s="3" t="inlineStr">
        <is>
          <t>Growth</t>
        </is>
      </c>
      <c r="B6" s="4" t="inlineStr">
        <is>
          <t>Practitioner funnel — Y1 monthly, Y2–Y5 quarterly.</t>
        </is>
      </c>
    </row>
    <row r="7">
      <c r="A7" s="3" t="inlineStr">
        <is>
          <t>Revenue</t>
        </is>
      </c>
      <c r="B7" s="4" t="inlineStr">
        <is>
          <t>Credit economics → gross / VAT / net / USD.</t>
        </is>
      </c>
    </row>
    <row r="8">
      <c r="A8" s="3" t="inlineStr">
        <is>
          <t>Costs</t>
        </is>
      </c>
      <c r="B8" s="4" t="inlineStr">
        <is>
          <t>Infra + OpEx + COGS.</t>
        </is>
      </c>
    </row>
    <row r="9">
      <c r="A9" s="3" t="inlineStr">
        <is>
          <t>P&amp;L</t>
        </is>
      </c>
      <c r="B9" s="4" t="inlineStr">
        <is>
          <t>Annual rollup. EBITDA per year + 5-yr cumulative.</t>
        </is>
      </c>
    </row>
    <row r="10">
      <c r="A10" s="3" t="inlineStr">
        <is>
          <t>CashFlow</t>
        </is>
      </c>
      <c r="B10" s="4" t="inlineStr">
        <is>
          <t>Period cash flow + running balance (R0 starting).</t>
        </is>
      </c>
    </row>
    <row r="11">
      <c r="A11" s="3" t="inlineStr">
        <is>
          <t>Scenarios</t>
        </is>
      </c>
      <c r="B11" s="4" t="inlineStr">
        <is>
          <t>Unit economics (LTV, CAC, payback). Y5 snapshot of active scenario.</t>
        </is>
      </c>
    </row>
    <row r="12">
      <c r="A12" s="3" t="inlineStr">
        <is>
          <t>Sensitivity</t>
        </is>
      </c>
      <c r="B12" s="4" t="inlineStr">
        <is>
          <t>Tornado scaffold — flex one driver at a time.</t>
        </is>
      </c>
    </row>
    <row r="15">
      <c r="A15" s="5" t="inlineStr">
        <is>
          <t>Primary sources: see docs/business-case/assumptions-cited.md</t>
        </is>
      </c>
    </row>
    <row r="16">
      <c r="A16" s="5" t="inlineStr">
        <is>
          <t>Currency: ZAR primary. USD info lines use fx = Assumptions!fx (default R19/USD).</t>
        </is>
      </c>
    </row>
    <row r="17">
      <c r="A17" s="6" t="inlineStr">
        <is>
          <t>Access date: 2026-04-20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0" customWidth="1" min="5" max="5"/>
    <col width="50" customWidth="1" min="6" max="6"/>
    <col width="14" customWidth="1" min="7" max="7"/>
  </cols>
  <sheetData>
    <row r="1">
      <c r="A1" s="7" t="inlineStr">
        <is>
          <t>homefit.studio — 5-Year Business Case</t>
        </is>
      </c>
    </row>
    <row r="2">
      <c r="A2" s="8" t="inlineStr">
        <is>
          <t>All inputs below are user-editable (pale coral). Everything else is a formula.</t>
        </is>
      </c>
    </row>
    <row r="3">
      <c r="A3" s="9" t="inlineStr">
        <is>
          <t>Version: v1 · Base date: 2026-04-20 · Horizon: Y1 monthly, Y2–Y5 quarterly</t>
        </is>
      </c>
    </row>
    <row r="4">
      <c r="A4" s="10" t="inlineStr">
        <is>
          <t>Assumption</t>
        </is>
      </c>
      <c r="B4" s="10" t="inlineStr">
        <is>
          <t>Conservative</t>
        </is>
      </c>
      <c r="C4" s="10" t="inlineStr">
        <is>
          <t>Base</t>
        </is>
      </c>
      <c r="D4" s="10" t="inlineStr">
        <is>
          <t>Optimistic</t>
        </is>
      </c>
      <c r="E4" s="10" t="inlineStr">
        <is>
          <t>Unit</t>
        </is>
      </c>
      <c r="F4" s="10" t="inlineStr">
        <is>
          <t>Source / note</t>
        </is>
      </c>
      <c r="G4" s="10" t="inlineStr">
        <is>
          <t>Active</t>
        </is>
      </c>
    </row>
    <row r="5">
      <c r="A5" s="11" t="inlineStr">
        <is>
          <t>Scenario selector</t>
        </is>
      </c>
    </row>
    <row r="6">
      <c r="A6" s="4" t="inlineStr">
        <is>
          <t>Active scenario (1=Conservative, 2=Base, 3=Optimistic)</t>
        </is>
      </c>
      <c r="B6" s="12" t="n"/>
      <c r="C6" s="12" t="n">
        <v>2</v>
      </c>
      <c r="D6" s="12" t="n"/>
      <c r="E6" s="13" t="inlineStr">
        <is>
          <t>int</t>
        </is>
      </c>
      <c r="F6" s="14" t="inlineStr">
        <is>
          <t>Driven through the whole model via CHOOSE().</t>
        </is>
      </c>
      <c r="G6" s="15" t="n">
        <v>2</v>
      </c>
    </row>
    <row r="7">
      <c r="A7" s="11" t="inlineStr">
        <is>
          <t>Market sizing — South Africa</t>
        </is>
      </c>
    </row>
    <row r="8">
      <c r="A8" s="4" t="inlineStr">
        <is>
          <t>SA registered biokineticists</t>
        </is>
      </c>
      <c r="B8" s="12" t="n">
        <v>2000</v>
      </c>
      <c r="C8" s="12" t="n">
        <v>2400</v>
      </c>
      <c r="D8" s="12" t="n">
        <v>2800</v>
      </c>
      <c r="E8" s="13" t="inlineStr">
        <is>
          <t>practitioners</t>
        </is>
      </c>
      <c r="F8" s="14" t="inlineStr">
        <is>
          <t>HPCSA+BASA. 2020=1,831 → extrapolated.</t>
        </is>
      </c>
      <c r="G8" s="15">
        <f>CHOOSE(Assumptions!$C$6, Assumptions!B8, Assumptions!C8, Assumptions!D8)</f>
        <v/>
      </c>
    </row>
    <row r="9">
      <c r="A9" s="4" t="inlineStr">
        <is>
          <t>SA registered physiotherapists</t>
        </is>
      </c>
      <c r="B9" s="12" t="n">
        <v>9000</v>
      </c>
      <c r="C9" s="12" t="n">
        <v>9235</v>
      </c>
      <c r="D9" s="12" t="n">
        <v>9500</v>
      </c>
      <c r="E9" s="13" t="inlineStr">
        <is>
          <t>practitioners</t>
        </is>
      </c>
      <c r="F9" s="14" t="inlineStr">
        <is>
          <t>HPCSA Mar-2025 = 9,235.</t>
        </is>
      </c>
      <c r="G9" s="15">
        <f>CHOOSE(Assumptions!$C$6, Assumptions!B9, Assumptions!C9, Assumptions!D9)</f>
        <v/>
      </c>
    </row>
    <row r="10">
      <c r="A10" s="4" t="inlineStr">
        <is>
          <t>SA registered exercise pros (REPSSA+)</t>
        </is>
      </c>
      <c r="B10" s="12" t="n">
        <v>8000</v>
      </c>
      <c r="C10" s="12" t="n">
        <v>11000</v>
      </c>
      <c r="D10" s="12" t="n">
        <v>14000</v>
      </c>
      <c r="E10" s="13" t="inlineStr">
        <is>
          <t>practitioners</t>
        </is>
      </c>
      <c r="F10" s="14" t="inlineStr">
        <is>
          <t>REPSSA unpublished; derived via SA fitness facility census.</t>
        </is>
      </c>
      <c r="G10" s="15">
        <f>CHOOSE(Assumptions!$C$6, Assumptions!B10, Assumptions!C10, Assumptions!D10)</f>
        <v/>
      </c>
    </row>
    <row r="11">
      <c r="A11" s="4" t="inlineStr">
        <is>
          <t>Reachable fraction of SA TAM (digital, solo-SMB)</t>
        </is>
      </c>
      <c r="B11" s="16" t="n">
        <v>0.35</v>
      </c>
      <c r="C11" s="16" t="n">
        <v>0.55</v>
      </c>
      <c r="D11" s="16" t="n">
        <v>0.7</v>
      </c>
      <c r="E11" s="13" t="inlineStr">
        <is>
          <t>%</t>
        </is>
      </c>
      <c r="F11" s="14" t="inlineStr">
        <is>
          <t>Strip public sector / big-chain-locked.</t>
        </is>
      </c>
      <c r="G11" s="17">
        <f>CHOOSE(Assumptions!$C$6, Assumptions!B11, Assumptions!C11, Assumptions!D11)</f>
        <v/>
      </c>
    </row>
    <row r="12">
      <c r="A12" s="11" t="inlineStr">
        <is>
          <t>Market sizing — International (expansion)</t>
        </is>
      </c>
    </row>
    <row r="13">
      <c r="A13" s="4" t="inlineStr">
        <is>
          <t>AU physiotherapists</t>
        </is>
      </c>
      <c r="B13" s="12" t="n">
        <v>38000</v>
      </c>
      <c r="C13" s="12" t="n">
        <v>39781</v>
      </c>
      <c r="D13" s="12" t="n">
        <v>41000</v>
      </c>
      <c r="E13" s="13" t="inlineStr">
        <is>
          <t>practitioners</t>
        </is>
      </c>
      <c r="F13" s="14" t="inlineStr">
        <is>
          <t>Physiotherapy Board of Australia 2024.</t>
        </is>
      </c>
      <c r="G13" s="15">
        <f>CHOOSE(Assumptions!$C$6, Assumptions!B13, Assumptions!C13, Assumptions!D13)</f>
        <v/>
      </c>
    </row>
    <row r="14">
      <c r="A14" s="4" t="inlineStr">
        <is>
          <t>AUSactive registered exercise pros</t>
        </is>
      </c>
      <c r="B14" s="12" t="n">
        <v>10000</v>
      </c>
      <c r="C14" s="12" t="n">
        <v>11000</v>
      </c>
      <c r="D14" s="12" t="n">
        <v>13000</v>
      </c>
      <c r="E14" s="13" t="inlineStr">
        <is>
          <t>practitioners</t>
        </is>
      </c>
      <c r="F14" s="14" t="inlineStr">
        <is>
          <t>AUSactive Accreditation page.</t>
        </is>
      </c>
      <c r="G14" s="15">
        <f>CHOOSE(Assumptions!$C$6, Assumptions!B14, Assumptions!C14, Assumptions!D14)</f>
        <v/>
      </c>
    </row>
    <row r="15">
      <c r="A15" s="4" t="inlineStr">
        <is>
          <t>UK HCPC physiotherapists</t>
        </is>
      </c>
      <c r="B15" s="12" t="n">
        <v>62000</v>
      </c>
      <c r="C15" s="12" t="n">
        <v>64000</v>
      </c>
      <c r="D15" s="12" t="n">
        <v>66000</v>
      </c>
      <c r="E15" s="13" t="inlineStr">
        <is>
          <t>practitioners</t>
        </is>
      </c>
      <c r="F15" s="14" t="inlineStr">
        <is>
          <t>HCPC Register Summary 2024.</t>
        </is>
      </c>
      <c r="G15" s="15">
        <f>CHOOSE(Assumptions!$C$6, Assumptions!B15, Assumptions!C15, Assumptions!D15)</f>
        <v/>
      </c>
    </row>
    <row r="16">
      <c r="A16" s="4" t="inlineStr">
        <is>
          <t>Nordics physiotherapists (DK+SE+NO+FI)</t>
        </is>
      </c>
      <c r="B16" s="12" t="n">
        <v>48000</v>
      </c>
      <c r="C16" s="12" t="n">
        <v>50864</v>
      </c>
      <c r="D16" s="12" t="n">
        <v>53000</v>
      </c>
      <c r="E16" s="13" t="inlineStr">
        <is>
          <t>practitioners</t>
        </is>
      </c>
      <c r="F16" s="14" t="inlineStr">
        <is>
          <t>World Physiotherapy + Statista.</t>
        </is>
      </c>
      <c r="G16" s="15">
        <f>CHOOSE(Assumptions!$C$6, Assumptions!B16, Assumptions!C16, Assumptions!D16)</f>
        <v/>
      </c>
    </row>
    <row r="17">
      <c r="A17" s="4" t="inlineStr">
        <is>
          <t>Reachable fraction of intl TAM</t>
        </is>
      </c>
      <c r="B17" s="16" t="n">
        <v>0.1</v>
      </c>
      <c r="C17" s="16" t="n">
        <v>0.2</v>
      </c>
      <c r="D17" s="16" t="n">
        <v>0.3</v>
      </c>
      <c r="E17" s="13" t="inlineStr">
        <is>
          <t>%</t>
        </is>
      </c>
      <c r="F17" s="14" t="inlineStr">
        <is>
          <t>Lower than SA — weaker brand &amp; comp is stronger.</t>
        </is>
      </c>
      <c r="G17" s="17">
        <f>CHOOSE(Assumptions!$C$6, Assumptions!B17, Assumptions!C17, Assumptions!D17)</f>
        <v/>
      </c>
    </row>
    <row r="18">
      <c r="A18" s="4" t="inlineStr">
        <is>
          <t>International expansion starts in year</t>
        </is>
      </c>
      <c r="B18" s="12" t="n">
        <v>4</v>
      </c>
      <c r="C18" s="12" t="n">
        <v>3</v>
      </c>
      <c r="D18" s="12" t="n">
        <v>2</v>
      </c>
      <c r="E18" s="13" t="inlineStr">
        <is>
          <t>year</t>
        </is>
      </c>
      <c r="F18" s="14" t="inlineStr">
        <is>
          <t>Y3 base; Y4 conservative; Y2 optimistic.</t>
        </is>
      </c>
      <c r="G18" s="15">
        <f>CHOOSE(Assumptions!$C$6, Assumptions!B18, Assumptions!C18, Assumptions!D18)</f>
        <v/>
      </c>
    </row>
    <row r="19">
      <c r="A19" s="11" t="inlineStr">
        <is>
          <t>Pricing / revenue</t>
        </is>
      </c>
    </row>
    <row r="20">
      <c r="A20" s="4" t="inlineStr">
        <is>
          <t>Blended revenue per credit (ZAR, after bundle mix)</t>
        </is>
      </c>
      <c r="B20" s="18" t="n">
        <v>20</v>
      </c>
      <c r="C20" s="18" t="n">
        <v>22.5</v>
      </c>
      <c r="D20" s="18" t="n">
        <v>25</v>
      </c>
      <c r="E20" s="13" t="inlineStr">
        <is>
          <t>R/credit</t>
        </is>
      </c>
      <c r="F20" s="14" t="inlineStr">
        <is>
          <t>Weighted avg: 10/R250=R25, 50/R1125=R22.50, 200/R4000=R20.</t>
        </is>
      </c>
      <c r="G20" s="19">
        <f>CHOOSE(Assumptions!$C$6, Assumptions!B20, Assumptions!C20, Assumptions!D20)</f>
        <v/>
      </c>
    </row>
    <row r="21">
      <c r="A21" s="4" t="inlineStr">
        <is>
          <t>Plans published per active practitioner per month</t>
        </is>
      </c>
      <c r="B21" s="12" t="n">
        <v>15</v>
      </c>
      <c r="C21" s="12" t="n">
        <v>35</v>
      </c>
      <c r="D21" s="12" t="n">
        <v>60</v>
      </c>
      <c r="E21" s="13" t="inlineStr">
        <is>
          <t>plans/mo</t>
        </is>
      </c>
      <c r="F21" s="14" t="inlineStr">
        <is>
          <t>Active = has published ≥1 plan in the month.</t>
        </is>
      </c>
      <c r="G21" s="15">
        <f>CHOOSE(Assumptions!$C$6, Assumptions!B21, Assumptions!C21, Assumptions!D21)</f>
        <v/>
      </c>
    </row>
    <row r="22">
      <c r="A22" s="4" t="inlineStr">
        <is>
          <t>Avg credits per plan (non-rest count ceil/8, clamped 1-3)</t>
        </is>
      </c>
      <c r="B22" s="20" t="n">
        <v>1.1</v>
      </c>
      <c r="C22" s="20" t="n">
        <v>1.3</v>
      </c>
      <c r="D22" s="20" t="n">
        <v>1.6</v>
      </c>
      <c r="E22" s="13" t="inlineStr">
        <is>
          <t>credits</t>
        </is>
      </c>
      <c r="F22" s="14" t="inlineStr">
        <is>
          <t>Most plans 1–8 exercises = 1 credit.</t>
        </is>
      </c>
      <c r="G22" s="21">
        <f>CHOOSE(Assumptions!$C$6, Assumptions!B22, Assumptions!C22, Assumptions!D22)</f>
        <v/>
      </c>
    </row>
    <row r="23">
      <c r="A23" s="4" t="inlineStr">
        <is>
          <t>Credits consumed vs purchased (decay)</t>
        </is>
      </c>
      <c r="B23" s="16" t="n">
        <v>0.75</v>
      </c>
      <c r="C23" s="16" t="n">
        <v>0.85</v>
      </c>
      <c r="D23" s="16" t="n">
        <v>0.95</v>
      </c>
      <c r="E23" s="13" t="inlineStr">
        <is>
          <t>%</t>
        </is>
      </c>
      <c r="F23" s="14" t="inlineStr">
        <is>
          <t>Some credits sit on account — POPIA retention ceiling.</t>
        </is>
      </c>
      <c r="G23" s="17">
        <f>CHOOSE(Assumptions!$C$6, Assumptions!B23, Assumptions!C23, Assumptions!D23)</f>
        <v/>
      </c>
    </row>
    <row r="24">
      <c r="A24" s="11" t="inlineStr">
        <is>
          <t>Funnel</t>
        </is>
      </c>
    </row>
    <row r="25">
      <c r="A25" s="4" t="inlineStr">
        <is>
          <t>Annual signup rate (reachable → signup)</t>
        </is>
      </c>
      <c r="B25" s="22" t="n">
        <v>0.01</v>
      </c>
      <c r="C25" s="22" t="n">
        <v>0.02</v>
      </c>
      <c r="D25" s="22" t="n">
        <v>0.035</v>
      </c>
      <c r="E25" s="13" t="inlineStr">
        <is>
          <t>%/yr</t>
        </is>
      </c>
      <c r="F25" s="14" t="inlineStr">
        <is>
          <t>Blended across paid+warm+referral.</t>
        </is>
      </c>
      <c r="G25" s="23">
        <f>CHOOSE(Assumptions!$C$6, Assumptions!B25, Assumptions!C25, Assumptions!D25)</f>
        <v/>
      </c>
    </row>
    <row r="26">
      <c r="A26" s="4" t="inlineStr">
        <is>
          <t>Signup → activation (first published plan)</t>
        </is>
      </c>
      <c r="B26" s="16" t="n">
        <v>0.25</v>
      </c>
      <c r="C26" s="16" t="n">
        <v>0.375</v>
      </c>
      <c r="D26" s="16" t="n">
        <v>0.5</v>
      </c>
      <c r="E26" s="13" t="inlineStr">
        <is>
          <t>%</t>
        </is>
      </c>
      <c r="F26" s="14" t="inlineStr">
        <is>
          <t>Agile Growth Labs 2025 median 37.5%.</t>
        </is>
      </c>
      <c r="G26" s="17">
        <f>CHOOSE(Assumptions!$C$6, Assumptions!B26, Assumptions!C26, Assumptions!D26)</f>
        <v/>
      </c>
    </row>
    <row r="27">
      <c r="A27" s="4" t="inlineStr">
        <is>
          <t>Activation → paid (buys 1st bundle)</t>
        </is>
      </c>
      <c r="B27" s="16" t="n">
        <v>0.12</v>
      </c>
      <c r="C27" s="16" t="n">
        <v>0.215</v>
      </c>
      <c r="D27" s="16" t="n">
        <v>0.3</v>
      </c>
      <c r="E27" s="13" t="inlineStr">
        <is>
          <t>%</t>
        </is>
      </c>
      <c r="F27" s="14" t="inlineStr">
        <is>
          <t>1Capture Healthcare/MedTech = 21.5%.</t>
        </is>
      </c>
      <c r="G27" s="17">
        <f>CHOOSE(Assumptions!$C$6, Assumptions!B27, Assumptions!C27, Assumptions!D27)</f>
        <v/>
      </c>
    </row>
    <row r="28">
      <c r="A28" s="4" t="inlineStr">
        <is>
          <t>Referral invites per active per year</t>
        </is>
      </c>
      <c r="B28" s="20" t="n">
        <v>0.15</v>
      </c>
      <c r="C28" s="20" t="n">
        <v>0.35</v>
      </c>
      <c r="D28" s="20" t="n">
        <v>0.6</v>
      </c>
      <c r="E28" s="13" t="inlineStr">
        <is>
          <t>inv/yr</t>
        </is>
      </c>
      <c r="F28" s="14" t="inlineStr">
        <is>
          <t>Non-cash incentive SaaS.</t>
        </is>
      </c>
      <c r="G28" s="21">
        <f>CHOOSE(Assumptions!$C$6, Assumptions!B28, Assumptions!C28, Assumptions!D28)</f>
        <v/>
      </c>
    </row>
    <row r="29">
      <c r="A29" s="4" t="inlineStr">
        <is>
          <t>Referee → signup conversion</t>
        </is>
      </c>
      <c r="B29" s="16" t="n">
        <v>0.12</v>
      </c>
      <c r="C29" s="16" t="n">
        <v>0.22</v>
      </c>
      <c r="D29" s="16" t="n">
        <v>0.35</v>
      </c>
      <c r="E29" s="13" t="inlineStr">
        <is>
          <t>%</t>
        </is>
      </c>
      <c r="F29" s="14" t="inlineStr">
        <is>
          <t>WallStreet Prep viral 15–25% B2B.</t>
        </is>
      </c>
      <c r="G29" s="17">
        <f>CHOOSE(Assumptions!$C$6, Assumptions!B29, Assumptions!C29, Assumptions!D29)</f>
        <v/>
      </c>
    </row>
    <row r="30">
      <c r="A30" s="11" t="inlineStr">
        <is>
          <t>Churn</t>
        </is>
      </c>
    </row>
    <row r="31">
      <c r="A31" s="4" t="inlineStr">
        <is>
          <t>Monthly logo churn (steady state)</t>
        </is>
      </c>
      <c r="B31" s="22" t="n">
        <v>0.06</v>
      </c>
      <c r="C31" s="22" t="n">
        <v>0.04</v>
      </c>
      <c r="D31" s="22" t="n">
        <v>0.025</v>
      </c>
      <c r="E31" s="13" t="inlineStr">
        <is>
          <t>%/mo</t>
        </is>
      </c>
      <c r="F31" s="14" t="inlineStr">
        <is>
          <t>SMB SaaS 3–5%; ours is single-user no-EHR-lock.</t>
        </is>
      </c>
      <c r="G31" s="23">
        <f>CHOOSE(Assumptions!$C$6, Assumptions!B31, Assumptions!C31, Assumptions!D31)</f>
        <v/>
      </c>
    </row>
    <row r="32">
      <c r="A32" s="4" t="inlineStr">
        <is>
          <t>First-90-day churn uplift (pp)</t>
        </is>
      </c>
      <c r="B32" s="22" t="n">
        <v>0.04</v>
      </c>
      <c r="C32" s="22" t="n">
        <v>0.03</v>
      </c>
      <c r="D32" s="22" t="n">
        <v>0.015</v>
      </c>
      <c r="E32" s="13" t="inlineStr">
        <is>
          <t>pp</t>
        </is>
      </c>
      <c r="F32" s="14" t="inlineStr">
        <is>
          <t>SMB 90-day concentration.</t>
        </is>
      </c>
      <c r="G32" s="23">
        <f>CHOOSE(Assumptions!$C$6, Assumptions!B32, Assumptions!C32, Assumptions!D32)</f>
        <v/>
      </c>
    </row>
    <row r="33">
      <c r="A33" s="11" t="inlineStr">
        <is>
          <t>Customer acquisition cost</t>
        </is>
      </c>
    </row>
    <row r="34">
      <c r="A34" s="4" t="inlineStr">
        <is>
          <t>Warm / organic signups — Y1 total</t>
        </is>
      </c>
      <c r="B34" s="12" t="n">
        <v>40</v>
      </c>
      <c r="C34" s="12" t="n">
        <v>100</v>
      </c>
      <c r="D34" s="12" t="n">
        <v>200</v>
      </c>
      <c r="E34" s="13" t="inlineStr">
        <is>
          <t>signups</t>
        </is>
      </c>
      <c r="F34" s="14" t="inlineStr">
        <is>
          <t>Melissa's network + BASA talks + early PR.</t>
        </is>
      </c>
      <c r="G34" s="15">
        <f>CHOOSE(Assumptions!$C$6, Assumptions!B34, Assumptions!C34, Assumptions!D34)</f>
        <v/>
      </c>
    </row>
    <row r="35">
      <c r="A35" s="4" t="inlineStr">
        <is>
          <t>Warm / organic signups — Y2+ per year</t>
        </is>
      </c>
      <c r="B35" s="12" t="n">
        <v>100</v>
      </c>
      <c r="C35" s="12" t="n">
        <v>300</v>
      </c>
      <c r="D35" s="12" t="n">
        <v>600</v>
      </c>
      <c r="E35" s="13" t="inlineStr">
        <is>
          <t>signups</t>
        </is>
      </c>
      <c r="F35" s="14" t="inlineStr">
        <is>
          <t>CPD talks, conferences, content.</t>
        </is>
      </c>
      <c r="G35" s="15">
        <f>CHOOSE(Assumptions!$C$6, Assumptions!B35, Assumptions!C35, Assumptions!D35)</f>
        <v/>
      </c>
    </row>
    <row r="36">
      <c r="A36" s="4" t="inlineStr">
        <is>
          <t>Paid CAC — SA</t>
        </is>
      </c>
      <c r="B36" s="24" t="n">
        <v>800</v>
      </c>
      <c r="C36" s="24" t="n">
        <v>520</v>
      </c>
      <c r="D36" s="24" t="n">
        <v>300</v>
      </c>
      <c r="E36" s="13" t="inlineStr">
        <is>
          <t>R/signup</t>
        </is>
      </c>
      <c r="F36" s="14" t="inlineStr">
        <is>
          <t>LinkedIn+Google mix; CPC R25–45 × CVR 6–8%.</t>
        </is>
      </c>
      <c r="G36" s="25">
        <f>CHOOSE(Assumptions!$C$6, Assumptions!B36, Assumptions!C36, Assumptions!D36)</f>
        <v/>
      </c>
    </row>
    <row r="37">
      <c r="A37" s="4" t="inlineStr">
        <is>
          <t>Paid CAC — International</t>
        </is>
      </c>
      <c r="B37" s="24" t="n">
        <v>2500</v>
      </c>
      <c r="C37" s="24" t="n">
        <v>1600</v>
      </c>
      <c r="D37" s="24" t="n">
        <v>1000</v>
      </c>
      <c r="E37" s="13" t="inlineStr">
        <is>
          <t>R/signup</t>
        </is>
      </c>
      <c r="F37" s="14" t="inlineStr">
        <is>
          <t>Est. 3x SA (LinkedIn UK/AU CPCs higher).</t>
        </is>
      </c>
      <c r="G37" s="25">
        <f>CHOOSE(Assumptions!$C$6, Assumptions!B37, Assumptions!C37, Assumptions!D37)</f>
        <v/>
      </c>
    </row>
    <row r="38">
      <c r="A38" s="4" t="inlineStr">
        <is>
          <t>Referral variable cost (free-credit value)</t>
        </is>
      </c>
      <c r="B38" s="24" t="n">
        <v>80</v>
      </c>
      <c r="C38" s="24" t="n">
        <v>50</v>
      </c>
      <c r="D38" s="24" t="n">
        <v>30</v>
      </c>
      <c r="E38" s="13" t="inlineStr">
        <is>
          <t>R/signup</t>
        </is>
      </c>
      <c r="F38" s="14" t="inlineStr">
        <is>
          <t>8 free credits × R20/credit cost basis × goodwill haircut.</t>
        </is>
      </c>
      <c r="G38" s="25">
        <f>CHOOSE(Assumptions!$C$6, Assumptions!B38, Assumptions!C38, Assumptions!D38)</f>
        <v/>
      </c>
    </row>
    <row r="39">
      <c r="A39" s="4" t="inlineStr">
        <is>
          <t>Mix: warm share</t>
        </is>
      </c>
      <c r="B39" s="16" t="n">
        <v>0.35</v>
      </c>
      <c r="C39" s="16" t="n">
        <v>0.5</v>
      </c>
      <c r="D39" s="16" t="n">
        <v>0.6</v>
      </c>
      <c r="E39" s="13" t="inlineStr">
        <is>
          <t>%</t>
        </is>
      </c>
      <c r="F39" s="14" t="inlineStr">
        <is>
          <t>Falls over time — base case decays 5pp/yr.</t>
        </is>
      </c>
      <c r="G39" s="17">
        <f>CHOOSE(Assumptions!$C$6, Assumptions!B39, Assumptions!C39, Assumptions!D39)</f>
        <v/>
      </c>
    </row>
    <row r="40">
      <c r="A40" s="4" t="inlineStr">
        <is>
          <t>Mix: paid share</t>
        </is>
      </c>
      <c r="B40" s="16" t="n">
        <v>0.45</v>
      </c>
      <c r="C40" s="16" t="n">
        <v>0.3</v>
      </c>
      <c r="D40" s="16" t="n">
        <v>0.2</v>
      </c>
      <c r="E40" s="13" t="inlineStr">
        <is>
          <t>%</t>
        </is>
      </c>
      <c r="F40" s="14" t="inlineStr">
        <is>
          <t>Rises when warm runs out.</t>
        </is>
      </c>
      <c r="G40" s="17">
        <f>CHOOSE(Assumptions!$C$6, Assumptions!B40, Assumptions!C40, Assumptions!D40)</f>
        <v/>
      </c>
    </row>
    <row r="41">
      <c r="A41" s="4" t="inlineStr">
        <is>
          <t>Mix: referral share</t>
        </is>
      </c>
      <c r="B41" s="16" t="n">
        <v>0.2</v>
      </c>
      <c r="C41" s="16" t="n">
        <v>0.2</v>
      </c>
      <c r="D41" s="16" t="n">
        <v>0.2</v>
      </c>
      <c r="E41" s="13" t="inlineStr">
        <is>
          <t>%</t>
        </is>
      </c>
      <c r="F41" s="14" t="inlineStr">
        <is>
          <t>Stable — product-loop driven.</t>
        </is>
      </c>
      <c r="G41" s="17">
        <f>CHOOSE(Assumptions!$C$6, Assumptions!B41, Assumptions!C41, Assumptions!D41)</f>
        <v/>
      </c>
    </row>
    <row r="42">
      <c r="A42" s="11" t="inlineStr">
        <is>
          <t>Infrastructure cost</t>
        </is>
      </c>
    </row>
    <row r="43">
      <c r="A43" s="4" t="inlineStr">
        <is>
          <t>Supabase Pro (USD/mo)</t>
        </is>
      </c>
      <c r="B43" s="26" t="n">
        <v>30</v>
      </c>
      <c r="C43" s="26" t="n">
        <v>25</v>
      </c>
      <c r="D43" s="26" t="n">
        <v>25</v>
      </c>
      <c r="E43" s="13" t="inlineStr">
        <is>
          <t>$/mo</t>
        </is>
      </c>
      <c r="F43" s="14" t="inlineStr">
        <is>
          <t>supabase.com/pricing — $25 base.</t>
        </is>
      </c>
      <c r="G43" s="27">
        <f>CHOOSE(Assumptions!$C$6, Assumptions!B43, Assumptions!C43, Assumptions!D43)</f>
        <v/>
      </c>
    </row>
    <row r="44">
      <c r="A44" s="4" t="inlineStr">
        <is>
          <t>Supabase bandwidth overage ($/GB)</t>
        </is>
      </c>
      <c r="B44" s="28" t="n">
        <v>0.09</v>
      </c>
      <c r="C44" s="28" t="n">
        <v>0.09</v>
      </c>
      <c r="D44" s="28" t="n">
        <v>0.09</v>
      </c>
      <c r="E44" s="13" t="inlineStr">
        <is>
          <t>$/GB</t>
        </is>
      </c>
      <c r="F44" s="14" t="inlineStr">
        <is>
          <t>supabase.com/pricing.</t>
        </is>
      </c>
      <c r="G44" s="29">
        <f>CHOOSE(Assumptions!$C$6, Assumptions!B44, Assumptions!C44, Assumptions!D44)</f>
        <v/>
      </c>
    </row>
    <row r="45">
      <c r="A45" s="4" t="inlineStr">
        <is>
          <t>Vercel Pro (USD/seat/mo)</t>
        </is>
      </c>
      <c r="B45" s="26" t="n">
        <v>25</v>
      </c>
      <c r="C45" s="26" t="n">
        <v>20</v>
      </c>
      <c r="D45" s="26" t="n">
        <v>20</v>
      </c>
      <c r="E45" s="13" t="inlineStr">
        <is>
          <t>$/seat/mo</t>
        </is>
      </c>
      <c r="F45" s="14" t="inlineStr">
        <is>
          <t>vercel.com/pricing — $20 base.</t>
        </is>
      </c>
      <c r="G45" s="27">
        <f>CHOOSE(Assumptions!$C$6, Assumptions!B45, Assumptions!C45, Assumptions!D45)</f>
        <v/>
      </c>
    </row>
    <row r="46">
      <c r="A46" s="4" t="inlineStr">
        <is>
          <t>Vercel bandwidth overage ($/GB)</t>
        </is>
      </c>
      <c r="B46" s="28" t="n">
        <v>0.15</v>
      </c>
      <c r="C46" s="28" t="n">
        <v>0.15</v>
      </c>
      <c r="D46" s="28" t="n">
        <v>0.15</v>
      </c>
      <c r="E46" s="13" t="inlineStr">
        <is>
          <t>$/GB</t>
        </is>
      </c>
      <c r="F46" s="14" t="inlineStr">
        <is>
          <t>Flexprice Vercel Breakdown.</t>
        </is>
      </c>
      <c r="G46" s="29">
        <f>CHOOSE(Assumptions!$C$6, Assumptions!B46, Assumptions!C46, Assumptions!D46)</f>
        <v/>
      </c>
    </row>
    <row r="47">
      <c r="A47" s="4" t="inlineStr">
        <is>
          <t>USD → ZAR FX rate</t>
        </is>
      </c>
      <c r="B47" s="20" t="n">
        <v>20</v>
      </c>
      <c r="C47" s="20" t="n">
        <v>19</v>
      </c>
      <c r="D47" s="20" t="n">
        <v>18</v>
      </c>
      <c r="E47" s="13" t="inlineStr">
        <is>
          <t>R/USD</t>
        </is>
      </c>
      <c r="F47" s="14" t="inlineStr">
        <is>
          <t>Recent XE.com mid-rate.</t>
        </is>
      </c>
      <c r="G47" s="21">
        <f>CHOOSE(Assumptions!$C$6, Assumptions!B47, Assumptions!C47, Assumptions!D47)</f>
        <v/>
      </c>
    </row>
    <row r="48">
      <c r="A48" s="4" t="inlineStr">
        <is>
          <t>Hostinger domain (R/yr)</t>
        </is>
      </c>
      <c r="B48" s="24" t="n">
        <v>400</v>
      </c>
      <c r="C48" s="24" t="n">
        <v>250</v>
      </c>
      <c r="D48" s="24" t="n">
        <v>200</v>
      </c>
      <c r="E48" s="13" t="inlineStr">
        <is>
          <t>R/yr</t>
        </is>
      </c>
      <c r="F48" s="14" t="inlineStr">
        <is>
          <t>Hostinger SA.</t>
        </is>
      </c>
      <c r="G48" s="25">
        <f>CHOOSE(Assumptions!$C$6, Assumptions!B48, Assumptions!C48, Assumptions!D48)</f>
        <v/>
      </c>
    </row>
    <row r="49">
      <c r="A49" s="4" t="inlineStr">
        <is>
          <t>Apple Developer Program (USD/yr)</t>
        </is>
      </c>
      <c r="B49" s="26" t="n">
        <v>99</v>
      </c>
      <c r="C49" s="26" t="n">
        <v>99</v>
      </c>
      <c r="D49" s="26" t="n">
        <v>99</v>
      </c>
      <c r="E49" s="13" t="inlineStr">
        <is>
          <t>$/yr</t>
        </is>
      </c>
      <c r="F49" s="14" t="inlineStr">
        <is>
          <t>Apple.</t>
        </is>
      </c>
      <c r="G49" s="27">
        <f>CHOOSE(Assumptions!$C$6, Assumptions!B49, Assumptions!C49, Assumptions!D49)</f>
        <v/>
      </c>
    </row>
    <row r="50">
      <c r="A50" s="4" t="inlineStr">
        <is>
          <t>Per-practitioner marginal egress (MB/mo)</t>
        </is>
      </c>
      <c r="B50" s="12" t="n">
        <v>800</v>
      </c>
      <c r="C50" s="12" t="n">
        <v>500</v>
      </c>
      <c r="D50" s="12" t="n">
        <v>300</v>
      </c>
      <c r="E50" s="13" t="inlineStr">
        <is>
          <t>MB/mo</t>
        </is>
      </c>
      <c r="F50" s="14" t="inlineStr">
        <is>
          <t>Line-drawings tiny; grayscale/original cached in SW.</t>
        </is>
      </c>
      <c r="G50" s="15">
        <f>CHOOSE(Assumptions!$C$6, Assumptions!B50, Assumptions!C50, Assumptions!D50)</f>
        <v/>
      </c>
    </row>
    <row r="51">
      <c r="A51" s="11" t="inlineStr">
        <is>
          <t>Payments + tax</t>
        </is>
      </c>
    </row>
    <row r="52">
      <c r="A52" s="4" t="inlineStr">
        <is>
          <t>PayFast blended fee % (Y1–Y2)</t>
        </is>
      </c>
      <c r="B52" s="22" t="n">
        <v>0.033</v>
      </c>
      <c r="C52" s="22" t="n">
        <v>0.031</v>
      </c>
      <c r="D52" s="22" t="n">
        <v>0.028</v>
      </c>
      <c r="E52" s="13" t="inlineStr">
        <is>
          <t>%</t>
        </is>
      </c>
      <c r="F52" s="14" t="inlineStr">
        <is>
          <t>3.2% card + 2% EFT, weighted 90/10.</t>
        </is>
      </c>
      <c r="G52" s="23">
        <f>CHOOSE(Assumptions!$C$6, Assumptions!B52, Assumptions!C52, Assumptions!D52)</f>
        <v/>
      </c>
    </row>
    <row r="53">
      <c r="A53" s="4" t="inlineStr">
        <is>
          <t>PayFast blended fee % (Y3+)</t>
        </is>
      </c>
      <c r="B53" s="22" t="n">
        <v>0.029</v>
      </c>
      <c r="C53" s="22" t="n">
        <v>0.027</v>
      </c>
      <c r="D53" s="22" t="n">
        <v>0.024</v>
      </c>
      <c r="E53" s="13" t="inlineStr">
        <is>
          <t>%</t>
        </is>
      </c>
      <c r="F53" s="14" t="inlineStr">
        <is>
          <t>Volume discount past R50k/mo.</t>
        </is>
      </c>
      <c r="G53" s="23">
        <f>CHOOSE(Assumptions!$C$6, Assumptions!B53, Assumptions!C53, Assumptions!D53)</f>
        <v/>
      </c>
    </row>
    <row r="54">
      <c r="A54" s="4" t="inlineStr">
        <is>
          <t>PayFast fixed fee per txn</t>
        </is>
      </c>
      <c r="B54" s="18" t="n">
        <v>2</v>
      </c>
      <c r="C54" s="18" t="n">
        <v>2</v>
      </c>
      <c r="D54" s="18" t="n">
        <v>2</v>
      </c>
      <c r="E54" s="13" t="inlineStr">
        <is>
          <t>R/txn</t>
        </is>
      </c>
      <c r="F54" s="14" t="inlineStr">
        <is>
          <t>Flat R2.00.</t>
        </is>
      </c>
      <c r="G54" s="19">
        <f>CHOOSE(Assumptions!$C$6, Assumptions!B54, Assumptions!C54, Assumptions!D54)</f>
        <v/>
      </c>
    </row>
    <row r="55">
      <c r="A55" s="4" t="inlineStr">
        <is>
          <t>Avg txn value (credits purchase)</t>
        </is>
      </c>
      <c r="B55" s="24" t="n">
        <v>800</v>
      </c>
      <c r="C55" s="24" t="n">
        <v>1125</v>
      </c>
      <c r="D55" s="24" t="n">
        <v>1500</v>
      </c>
      <c r="E55" s="13" t="inlineStr">
        <is>
          <t>R</t>
        </is>
      </c>
      <c r="F55" s="14" t="inlineStr">
        <is>
          <t>Bundle mix weighted.</t>
        </is>
      </c>
      <c r="G55" s="25">
        <f>CHOOSE(Assumptions!$C$6, Assumptions!B55, Assumptions!C55, Assumptions!D55)</f>
        <v/>
      </c>
    </row>
    <row r="56">
      <c r="A56" s="4" t="inlineStr">
        <is>
          <t>SA VAT rate</t>
        </is>
      </c>
      <c r="B56" s="16" t="n">
        <v>0.15</v>
      </c>
      <c r="C56" s="16" t="n">
        <v>0.15</v>
      </c>
      <c r="D56" s="16" t="n">
        <v>0.15</v>
      </c>
      <c r="E56" s="13" t="inlineStr">
        <is>
          <t>%</t>
        </is>
      </c>
      <c r="F56" s="14" t="inlineStr">
        <is>
          <t>SARS standard rate.</t>
        </is>
      </c>
      <c r="G56" s="17">
        <f>CHOOSE(Assumptions!$C$6, Assumptions!B56, Assumptions!C56, Assumptions!D56)</f>
        <v/>
      </c>
    </row>
    <row r="57">
      <c r="A57" s="4" t="inlineStr">
        <is>
          <t>VAT registration trigger year</t>
        </is>
      </c>
      <c r="B57" s="12" t="n">
        <v>4</v>
      </c>
      <c r="C57" s="12" t="n">
        <v>2</v>
      </c>
      <c r="D57" s="12" t="n">
        <v>1</v>
      </c>
      <c r="E57" s="13" t="inlineStr">
        <is>
          <t>yr</t>
        </is>
      </c>
      <c r="F57" s="14" t="inlineStr">
        <is>
          <t>Voluntary registration when near R1M run-rate.</t>
        </is>
      </c>
      <c r="G57" s="15">
        <f>CHOOSE(Assumptions!$C$6, Assumptions!B57, Assumptions!C57, Assumptions!D57)</f>
        <v/>
      </c>
    </row>
    <row r="58">
      <c r="A58" s="11" t="inlineStr">
        <is>
          <t>Operating expenses</t>
        </is>
      </c>
    </row>
    <row r="59">
      <c r="A59" s="4" t="inlineStr">
        <is>
          <t>Founder salary (Carl) — R/mo from Y1</t>
        </is>
      </c>
      <c r="B59" s="24" t="n">
        <v>0</v>
      </c>
      <c r="C59" s="24" t="n">
        <v>25000</v>
      </c>
      <c r="D59" s="24" t="n">
        <v>40000</v>
      </c>
      <c r="E59" s="13" t="inlineStr">
        <is>
          <t>R/mo</t>
        </is>
      </c>
      <c r="F59" s="14" t="inlineStr">
        <is>
          <t>Treat Y1 base as equity; bump when EBITDA turns positive.</t>
        </is>
      </c>
      <c r="G59" s="25">
        <f>CHOOSE(Assumptions!$C$6, Assumptions!B59, Assumptions!C59, Assumptions!D59)</f>
        <v/>
      </c>
    </row>
    <row r="60">
      <c r="A60" s="4" t="inlineStr">
        <is>
          <t>Founder salary growth per year</t>
        </is>
      </c>
      <c r="B60" s="16" t="n">
        <v>0.1</v>
      </c>
      <c r="C60" s="16" t="n">
        <v>0.1</v>
      </c>
      <c r="D60" s="16" t="n">
        <v>0.15</v>
      </c>
      <c r="E60" s="13" t="inlineStr">
        <is>
          <t>%</t>
        </is>
      </c>
      <c r="F60" s="14" t="inlineStr">
        <is>
          <t>Simple pct increase.</t>
        </is>
      </c>
      <c r="G60" s="17">
        <f>CHOOSE(Assumptions!$C$6, Assumptions!B60, Assumptions!C60, Assumptions!D60)</f>
        <v/>
      </c>
    </row>
    <row r="61">
      <c r="A61" s="4" t="inlineStr">
        <is>
          <t>Marketing spend floor (R/mo)</t>
        </is>
      </c>
      <c r="B61" s="24" t="n">
        <v>3000</v>
      </c>
      <c r="C61" s="24" t="n">
        <v>5000</v>
      </c>
      <c r="D61" s="24" t="n">
        <v>10000</v>
      </c>
      <c r="E61" s="13" t="inlineStr">
        <is>
          <t>R/mo</t>
        </is>
      </c>
      <c r="F61" s="14" t="inlineStr">
        <is>
          <t>Content + conference + a bit of paid.</t>
        </is>
      </c>
      <c r="G61" s="25">
        <f>CHOOSE(Assumptions!$C$6, Assumptions!B61, Assumptions!C61, Assumptions!D61)</f>
        <v/>
      </c>
    </row>
    <row r="62">
      <c r="A62" s="4" t="inlineStr">
        <is>
          <t>Marketing growth per year</t>
        </is>
      </c>
      <c r="B62" s="16" t="n">
        <v>0.3</v>
      </c>
      <c r="C62" s="16" t="n">
        <v>0.4</v>
      </c>
      <c r="D62" s="16" t="n">
        <v>0.6</v>
      </c>
      <c r="E62" s="13" t="inlineStr">
        <is>
          <t>%</t>
        </is>
      </c>
      <c r="F62" s="14" t="inlineStr">
        <is>
          <t>Grows with revenue.</t>
        </is>
      </c>
      <c r="G62" s="17">
        <f>CHOOSE(Assumptions!$C$6, Assumptions!B62, Assumptions!C62, Assumptions!D62)</f>
        <v/>
      </c>
    </row>
    <row r="63">
      <c r="A63" s="4" t="inlineStr">
        <is>
          <t>Legal/accounting (R/mo)</t>
        </is>
      </c>
      <c r="B63" s="24" t="n">
        <v>2500</v>
      </c>
      <c r="C63" s="24" t="n">
        <v>1500</v>
      </c>
      <c r="D63" s="24" t="n">
        <v>800</v>
      </c>
      <c r="E63" s="13" t="inlineStr">
        <is>
          <t>R/mo</t>
        </is>
      </c>
      <c r="F63" s="14" t="inlineStr">
        <is>
          <t>BT / bookkeeper + POPIA legal amortised.</t>
        </is>
      </c>
      <c r="G63" s="25">
        <f>CHOOSE(Assumptions!$C$6, Assumptions!B63, Assumptions!C63, Assumptions!D63)</f>
        <v/>
      </c>
    </row>
    <row r="64">
      <c r="A64" s="4" t="inlineStr">
        <is>
          <t>First hire (customer success / support) in year</t>
        </is>
      </c>
      <c r="B64" s="12" t="n">
        <v>6</v>
      </c>
      <c r="C64" s="12" t="n">
        <v>3</v>
      </c>
      <c r="D64" s="12" t="n">
        <v>2</v>
      </c>
      <c r="E64" s="13" t="inlineStr">
        <is>
          <t>yr (0=never)</t>
        </is>
      </c>
      <c r="F64" s="14" t="inlineStr">
        <is>
          <t>R35k/mo when triggered.</t>
        </is>
      </c>
      <c r="G64" s="15">
        <f>CHOOSE(Assumptions!$C$6, Assumptions!B64, Assumptions!C64, Assumptions!D64)</f>
        <v/>
      </c>
    </row>
    <row r="65">
      <c r="A65" s="4" t="inlineStr">
        <is>
          <t>Hire 1 salary (R/mo)</t>
        </is>
      </c>
      <c r="B65" s="24" t="n">
        <v>28000</v>
      </c>
      <c r="C65" s="24" t="n">
        <v>35000</v>
      </c>
      <c r="D65" s="24" t="n">
        <v>45000</v>
      </c>
      <c r="E65" s="13" t="inlineStr">
        <is>
          <t>R/mo</t>
        </is>
      </c>
      <c r="F65" s="14" t="inlineStr">
        <is>
          <t>SA CS/support SMB.</t>
        </is>
      </c>
      <c r="G65" s="25">
        <f>CHOOSE(Assumptions!$C$6, Assumptions!B65, Assumptions!C65, Assumptions!D65)</f>
        <v/>
      </c>
    </row>
    <row r="66">
      <c r="A66" s="4" t="inlineStr">
        <is>
          <t>Second hire (engineer) in year</t>
        </is>
      </c>
      <c r="B66" s="12" t="n">
        <v>6</v>
      </c>
      <c r="C66" s="12" t="n">
        <v>4</v>
      </c>
      <c r="D66" s="12" t="n">
        <v>3</v>
      </c>
      <c r="E66" s="13" t="inlineStr">
        <is>
          <t>yr (0=never)</t>
        </is>
      </c>
      <c r="F66" s="14" t="inlineStr">
        <is>
          <t>R65k/mo when triggered.</t>
        </is>
      </c>
      <c r="G66" s="15">
        <f>CHOOSE(Assumptions!$C$6, Assumptions!B66, Assumptions!C66, Assumptions!D66)</f>
        <v/>
      </c>
    </row>
    <row r="67">
      <c r="A67" s="4" t="inlineStr">
        <is>
          <t>Hire 2 salary (R/mo)</t>
        </is>
      </c>
      <c r="B67" s="24" t="n">
        <v>55000</v>
      </c>
      <c r="C67" s="24" t="n">
        <v>65000</v>
      </c>
      <c r="D67" s="24" t="n">
        <v>85000</v>
      </c>
      <c r="E67" s="13" t="inlineStr">
        <is>
          <t>R/mo</t>
        </is>
      </c>
      <c r="F67" s="14" t="inlineStr">
        <is>
          <t>SA mid/senior mobile/full-stack.</t>
        </is>
      </c>
      <c r="G67" s="25">
        <f>CHOOSE(Assumptions!$C$6, Assumptions!B67, Assumptions!C67, Assumptions!D67)</f>
        <v/>
      </c>
    </row>
    <row r="68">
      <c r="A68" s="11" t="inlineStr">
        <is>
          <t>Scenario drivers (highlighted for sensitivity)</t>
        </is>
      </c>
    </row>
    <row r="69">
      <c r="A69" s="4" t="inlineStr">
        <is>
          <t>Year-5 SA practitioners (target)</t>
        </is>
      </c>
      <c r="B69" s="12" t="n">
        <v>900</v>
      </c>
      <c r="C69" s="12" t="n">
        <v>2200</v>
      </c>
      <c r="D69" s="12" t="n">
        <v>4500</v>
      </c>
      <c r="E69" s="13" t="inlineStr">
        <is>
          <t>paying</t>
        </is>
      </c>
      <c r="F69" s="14" t="inlineStr">
        <is>
          <t>TAM * reach * penetration. Scenario-selected.</t>
        </is>
      </c>
      <c r="G69" s="15">
        <f>CHOOSE(Assumptions!$C$6, Assumptions!B69, Assumptions!C69, Assumptions!D69)</f>
        <v/>
      </c>
    </row>
  </sheetData>
  <mergeCells count="14">
    <mergeCell ref="A24:F24"/>
    <mergeCell ref="A2:F2"/>
    <mergeCell ref="A33:F33"/>
    <mergeCell ref="A51:F51"/>
    <mergeCell ref="A42:F42"/>
    <mergeCell ref="A19:F19"/>
    <mergeCell ref="A68:F68"/>
    <mergeCell ref="A1:F1"/>
    <mergeCell ref="A5:F5"/>
    <mergeCell ref="A58:F58"/>
    <mergeCell ref="A12:F12"/>
    <mergeCell ref="A3:F3"/>
    <mergeCell ref="A30:F3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30" t="inlineStr">
        <is>
          <t>Practitioner growth — monthly Y1, quarterly Y2–Y5</t>
        </is>
      </c>
    </row>
    <row r="2">
      <c r="A2" s="8" t="inlineStr">
        <is>
          <t>Paying practitioners drive revenue on Sheet 3. All rates come from Assumptions.</t>
        </is>
      </c>
    </row>
    <row r="4">
      <c r="A4" s="31" t="inlineStr">
        <is>
          <t>Metric</t>
        </is>
      </c>
      <c r="B4" s="10" t="inlineStr">
        <is>
          <t>Y1 M1</t>
        </is>
      </c>
      <c r="C4" s="10" t="inlineStr">
        <is>
          <t>Y1 M2</t>
        </is>
      </c>
      <c r="D4" s="10" t="inlineStr">
        <is>
          <t>Y1 M3</t>
        </is>
      </c>
      <c r="E4" s="10" t="inlineStr">
        <is>
          <t>Y1 M4</t>
        </is>
      </c>
      <c r="F4" s="10" t="inlineStr">
        <is>
          <t>Y1 M5</t>
        </is>
      </c>
      <c r="G4" s="10" t="inlineStr">
        <is>
          <t>Y1 M6</t>
        </is>
      </c>
      <c r="H4" s="10" t="inlineStr">
        <is>
          <t>Y1 M7</t>
        </is>
      </c>
      <c r="I4" s="10" t="inlineStr">
        <is>
          <t>Y1 M8</t>
        </is>
      </c>
      <c r="J4" s="10" t="inlineStr">
        <is>
          <t>Y1 M9</t>
        </is>
      </c>
      <c r="K4" s="10" t="inlineStr">
        <is>
          <t>Y1 M10</t>
        </is>
      </c>
      <c r="L4" s="10" t="inlineStr">
        <is>
          <t>Y1 M11</t>
        </is>
      </c>
      <c r="M4" s="10" t="inlineStr">
        <is>
          <t>Y1 M12</t>
        </is>
      </c>
      <c r="N4" s="10" t="inlineStr">
        <is>
          <t>Y2 Q1</t>
        </is>
      </c>
      <c r="O4" s="10" t="inlineStr">
        <is>
          <t>Y2 Q2</t>
        </is>
      </c>
      <c r="P4" s="10" t="inlineStr">
        <is>
          <t>Y2 Q3</t>
        </is>
      </c>
      <c r="Q4" s="10" t="inlineStr">
        <is>
          <t>Y2 Q4</t>
        </is>
      </c>
      <c r="R4" s="10" t="inlineStr">
        <is>
          <t>Y3 Q1</t>
        </is>
      </c>
      <c r="S4" s="10" t="inlineStr">
        <is>
          <t>Y3 Q2</t>
        </is>
      </c>
      <c r="T4" s="10" t="inlineStr">
        <is>
          <t>Y3 Q3</t>
        </is>
      </c>
      <c r="U4" s="10" t="inlineStr">
        <is>
          <t>Y3 Q4</t>
        </is>
      </c>
      <c r="V4" s="10" t="inlineStr">
        <is>
          <t>Y4 Q1</t>
        </is>
      </c>
      <c r="W4" s="10" t="inlineStr">
        <is>
          <t>Y4 Q2</t>
        </is>
      </c>
      <c r="X4" s="10" t="inlineStr">
        <is>
          <t>Y4 Q3</t>
        </is>
      </c>
      <c r="Y4" s="10" t="inlineStr">
        <is>
          <t>Y4 Q4</t>
        </is>
      </c>
      <c r="Z4" s="10" t="inlineStr">
        <is>
          <t>Y5 Q1</t>
        </is>
      </c>
      <c r="AA4" s="10" t="inlineStr">
        <is>
          <t>Y5 Q2</t>
        </is>
      </c>
      <c r="AB4" s="10" t="inlineStr">
        <is>
          <t>Y5 Q3</t>
        </is>
      </c>
      <c r="AC4" s="10" t="inlineStr">
        <is>
          <t>Y5 Q4</t>
        </is>
      </c>
    </row>
    <row r="5">
      <c r="A5" s="4" t="inlineStr">
        <is>
          <t>SA TAM (practitioners)</t>
        </is>
      </c>
      <c r="B5" s="32">
        <f>(tam_bio+tam_physio+tam_pt)*(1.02)^(B21-1)</f>
        <v/>
      </c>
      <c r="C5" s="32">
        <f>(tam_bio+tam_physio+tam_pt)*(1.02)^(C21-1)</f>
        <v/>
      </c>
      <c r="D5" s="32">
        <f>(tam_bio+tam_physio+tam_pt)*(1.02)^(D21-1)</f>
        <v/>
      </c>
      <c r="E5" s="32">
        <f>(tam_bio+tam_physio+tam_pt)*(1.02)^(E21-1)</f>
        <v/>
      </c>
      <c r="F5" s="32">
        <f>(tam_bio+tam_physio+tam_pt)*(1.02)^(F21-1)</f>
        <v/>
      </c>
      <c r="G5" s="32">
        <f>(tam_bio+tam_physio+tam_pt)*(1.02)^(G21-1)</f>
        <v/>
      </c>
      <c r="H5" s="32">
        <f>(tam_bio+tam_physio+tam_pt)*(1.02)^(H21-1)</f>
        <v/>
      </c>
      <c r="I5" s="32">
        <f>(tam_bio+tam_physio+tam_pt)*(1.02)^(I21-1)</f>
        <v/>
      </c>
      <c r="J5" s="32">
        <f>(tam_bio+tam_physio+tam_pt)*(1.02)^(J21-1)</f>
        <v/>
      </c>
      <c r="K5" s="32">
        <f>(tam_bio+tam_physio+tam_pt)*(1.02)^(K21-1)</f>
        <v/>
      </c>
      <c r="L5" s="32">
        <f>(tam_bio+tam_physio+tam_pt)*(1.02)^(L21-1)</f>
        <v/>
      </c>
      <c r="M5" s="32">
        <f>(tam_bio+tam_physio+tam_pt)*(1.02)^(M21-1)</f>
        <v/>
      </c>
      <c r="N5" s="32">
        <f>(tam_bio+tam_physio+tam_pt)*(1.02)^(N21-1)</f>
        <v/>
      </c>
      <c r="O5" s="32">
        <f>(tam_bio+tam_physio+tam_pt)*(1.02)^(O21-1)</f>
        <v/>
      </c>
      <c r="P5" s="32">
        <f>(tam_bio+tam_physio+tam_pt)*(1.02)^(P21-1)</f>
        <v/>
      </c>
      <c r="Q5" s="32">
        <f>(tam_bio+tam_physio+tam_pt)*(1.02)^(Q21-1)</f>
        <v/>
      </c>
      <c r="R5" s="32">
        <f>(tam_bio+tam_physio+tam_pt)*(1.02)^(R21-1)</f>
        <v/>
      </c>
      <c r="S5" s="32">
        <f>(tam_bio+tam_physio+tam_pt)*(1.02)^(S21-1)</f>
        <v/>
      </c>
      <c r="T5" s="32">
        <f>(tam_bio+tam_physio+tam_pt)*(1.02)^(T21-1)</f>
        <v/>
      </c>
      <c r="U5" s="32">
        <f>(tam_bio+tam_physio+tam_pt)*(1.02)^(U21-1)</f>
        <v/>
      </c>
      <c r="V5" s="32">
        <f>(tam_bio+tam_physio+tam_pt)*(1.02)^(V21-1)</f>
        <v/>
      </c>
      <c r="W5" s="32">
        <f>(tam_bio+tam_physio+tam_pt)*(1.02)^(W21-1)</f>
        <v/>
      </c>
      <c r="X5" s="32">
        <f>(tam_bio+tam_physio+tam_pt)*(1.02)^(X21-1)</f>
        <v/>
      </c>
      <c r="Y5" s="32">
        <f>(tam_bio+tam_physio+tam_pt)*(1.02)^(Y21-1)</f>
        <v/>
      </c>
      <c r="Z5" s="32">
        <f>(tam_bio+tam_physio+tam_pt)*(1.02)^(Z21-1)</f>
        <v/>
      </c>
      <c r="AA5" s="32">
        <f>(tam_bio+tam_physio+tam_pt)*(1.02)^(AA21-1)</f>
        <v/>
      </c>
      <c r="AB5" s="32">
        <f>(tam_bio+tam_physio+tam_pt)*(1.02)^(AB21-1)</f>
        <v/>
      </c>
      <c r="AC5" s="32">
        <f>(tam_bio+tam_physio+tam_pt)*(1.02)^(AC21-1)</f>
        <v/>
      </c>
    </row>
    <row r="6">
      <c r="A6" s="4" t="inlineStr">
        <is>
          <t>SA reachable</t>
        </is>
      </c>
      <c r="B6" s="32">
        <f>B5*reach_sa</f>
        <v/>
      </c>
      <c r="C6" s="32">
        <f>C5*reach_sa</f>
        <v/>
      </c>
      <c r="D6" s="32">
        <f>D5*reach_sa</f>
        <v/>
      </c>
      <c r="E6" s="32">
        <f>E5*reach_sa</f>
        <v/>
      </c>
      <c r="F6" s="32">
        <f>F5*reach_sa</f>
        <v/>
      </c>
      <c r="G6" s="32">
        <f>G5*reach_sa</f>
        <v/>
      </c>
      <c r="H6" s="32">
        <f>H5*reach_sa</f>
        <v/>
      </c>
      <c r="I6" s="32">
        <f>I5*reach_sa</f>
        <v/>
      </c>
      <c r="J6" s="32">
        <f>J5*reach_sa</f>
        <v/>
      </c>
      <c r="K6" s="32">
        <f>K5*reach_sa</f>
        <v/>
      </c>
      <c r="L6" s="32">
        <f>L5*reach_sa</f>
        <v/>
      </c>
      <c r="M6" s="32">
        <f>M5*reach_sa</f>
        <v/>
      </c>
      <c r="N6" s="32">
        <f>N5*reach_sa</f>
        <v/>
      </c>
      <c r="O6" s="32">
        <f>O5*reach_sa</f>
        <v/>
      </c>
      <c r="P6" s="32">
        <f>P5*reach_sa</f>
        <v/>
      </c>
      <c r="Q6" s="32">
        <f>Q5*reach_sa</f>
        <v/>
      </c>
      <c r="R6" s="32">
        <f>R5*reach_sa</f>
        <v/>
      </c>
      <c r="S6" s="32">
        <f>S5*reach_sa</f>
        <v/>
      </c>
      <c r="T6" s="32">
        <f>T5*reach_sa</f>
        <v/>
      </c>
      <c r="U6" s="32">
        <f>U5*reach_sa</f>
        <v/>
      </c>
      <c r="V6" s="32">
        <f>V5*reach_sa</f>
        <v/>
      </c>
      <c r="W6" s="32">
        <f>W5*reach_sa</f>
        <v/>
      </c>
      <c r="X6" s="32">
        <f>X5*reach_sa</f>
        <v/>
      </c>
      <c r="Y6" s="32">
        <f>Y5*reach_sa</f>
        <v/>
      </c>
      <c r="Z6" s="32">
        <f>Z5*reach_sa</f>
        <v/>
      </c>
      <c r="AA6" s="32">
        <f>AA5*reach_sa</f>
        <v/>
      </c>
      <c r="AB6" s="32">
        <f>AB5*reach_sa</f>
        <v/>
      </c>
      <c r="AC6" s="32">
        <f>AC5*reach_sa</f>
        <v/>
      </c>
    </row>
    <row r="7">
      <c r="A7" s="4" t="inlineStr">
        <is>
          <t>International TAM</t>
        </is>
      </c>
      <c r="B7" s="32">
        <f>(tam_au_physio+tam_au_pt+tam_uk+tam_nordics)*(1.015)^(B21-1)</f>
        <v/>
      </c>
      <c r="C7" s="32">
        <f>(tam_au_physio+tam_au_pt+tam_uk+tam_nordics)*(1.015)^(C21-1)</f>
        <v/>
      </c>
      <c r="D7" s="32">
        <f>(tam_au_physio+tam_au_pt+tam_uk+tam_nordics)*(1.015)^(D21-1)</f>
        <v/>
      </c>
      <c r="E7" s="32">
        <f>(tam_au_physio+tam_au_pt+tam_uk+tam_nordics)*(1.015)^(E21-1)</f>
        <v/>
      </c>
      <c r="F7" s="32">
        <f>(tam_au_physio+tam_au_pt+tam_uk+tam_nordics)*(1.015)^(F21-1)</f>
        <v/>
      </c>
      <c r="G7" s="32">
        <f>(tam_au_physio+tam_au_pt+tam_uk+tam_nordics)*(1.015)^(G21-1)</f>
        <v/>
      </c>
      <c r="H7" s="32">
        <f>(tam_au_physio+tam_au_pt+tam_uk+tam_nordics)*(1.015)^(H21-1)</f>
        <v/>
      </c>
      <c r="I7" s="32">
        <f>(tam_au_physio+tam_au_pt+tam_uk+tam_nordics)*(1.015)^(I21-1)</f>
        <v/>
      </c>
      <c r="J7" s="32">
        <f>(tam_au_physio+tam_au_pt+tam_uk+tam_nordics)*(1.015)^(J21-1)</f>
        <v/>
      </c>
      <c r="K7" s="32">
        <f>(tam_au_physio+tam_au_pt+tam_uk+tam_nordics)*(1.015)^(K21-1)</f>
        <v/>
      </c>
      <c r="L7" s="32">
        <f>(tam_au_physio+tam_au_pt+tam_uk+tam_nordics)*(1.015)^(L21-1)</f>
        <v/>
      </c>
      <c r="M7" s="32">
        <f>(tam_au_physio+tam_au_pt+tam_uk+tam_nordics)*(1.015)^(M21-1)</f>
        <v/>
      </c>
      <c r="N7" s="32">
        <f>(tam_au_physio+tam_au_pt+tam_uk+tam_nordics)*(1.015)^(N21-1)</f>
        <v/>
      </c>
      <c r="O7" s="32">
        <f>(tam_au_physio+tam_au_pt+tam_uk+tam_nordics)*(1.015)^(O21-1)</f>
        <v/>
      </c>
      <c r="P7" s="32">
        <f>(tam_au_physio+tam_au_pt+tam_uk+tam_nordics)*(1.015)^(P21-1)</f>
        <v/>
      </c>
      <c r="Q7" s="32">
        <f>(tam_au_physio+tam_au_pt+tam_uk+tam_nordics)*(1.015)^(Q21-1)</f>
        <v/>
      </c>
      <c r="R7" s="32">
        <f>(tam_au_physio+tam_au_pt+tam_uk+tam_nordics)*(1.015)^(R21-1)</f>
        <v/>
      </c>
      <c r="S7" s="32">
        <f>(tam_au_physio+tam_au_pt+tam_uk+tam_nordics)*(1.015)^(S21-1)</f>
        <v/>
      </c>
      <c r="T7" s="32">
        <f>(tam_au_physio+tam_au_pt+tam_uk+tam_nordics)*(1.015)^(T21-1)</f>
        <v/>
      </c>
      <c r="U7" s="32">
        <f>(tam_au_physio+tam_au_pt+tam_uk+tam_nordics)*(1.015)^(U21-1)</f>
        <v/>
      </c>
      <c r="V7" s="32">
        <f>(tam_au_physio+tam_au_pt+tam_uk+tam_nordics)*(1.015)^(V21-1)</f>
        <v/>
      </c>
      <c r="W7" s="32">
        <f>(tam_au_physio+tam_au_pt+tam_uk+tam_nordics)*(1.015)^(W21-1)</f>
        <v/>
      </c>
      <c r="X7" s="32">
        <f>(tam_au_physio+tam_au_pt+tam_uk+tam_nordics)*(1.015)^(X21-1)</f>
        <v/>
      </c>
      <c r="Y7" s="32">
        <f>(tam_au_physio+tam_au_pt+tam_uk+tam_nordics)*(1.015)^(Y21-1)</f>
        <v/>
      </c>
      <c r="Z7" s="32">
        <f>(tam_au_physio+tam_au_pt+tam_uk+tam_nordics)*(1.015)^(Z21-1)</f>
        <v/>
      </c>
      <c r="AA7" s="32">
        <f>(tam_au_physio+tam_au_pt+tam_uk+tam_nordics)*(1.015)^(AA21-1)</f>
        <v/>
      </c>
      <c r="AB7" s="32">
        <f>(tam_au_physio+tam_au_pt+tam_uk+tam_nordics)*(1.015)^(AB21-1)</f>
        <v/>
      </c>
      <c r="AC7" s="32">
        <f>(tam_au_physio+tam_au_pt+tam_uk+tam_nordics)*(1.015)^(AC21-1)</f>
        <v/>
      </c>
    </row>
    <row r="8">
      <c r="A8" s="4" t="inlineStr">
        <is>
          <t>International reachable (when active)</t>
        </is>
      </c>
      <c r="B8" s="32">
        <f>B7*reach_intl*B22</f>
        <v/>
      </c>
      <c r="C8" s="32">
        <f>C7*reach_intl*C22</f>
        <v/>
      </c>
      <c r="D8" s="32">
        <f>D7*reach_intl*D22</f>
        <v/>
      </c>
      <c r="E8" s="32">
        <f>E7*reach_intl*E22</f>
        <v/>
      </c>
      <c r="F8" s="32">
        <f>F7*reach_intl*F22</f>
        <v/>
      </c>
      <c r="G8" s="32">
        <f>G7*reach_intl*G22</f>
        <v/>
      </c>
      <c r="H8" s="32">
        <f>H7*reach_intl*H22</f>
        <v/>
      </c>
      <c r="I8" s="32">
        <f>I7*reach_intl*I22</f>
        <v/>
      </c>
      <c r="J8" s="32">
        <f>J7*reach_intl*J22</f>
        <v/>
      </c>
      <c r="K8" s="32">
        <f>K7*reach_intl*K22</f>
        <v/>
      </c>
      <c r="L8" s="32">
        <f>L7*reach_intl*L22</f>
        <v/>
      </c>
      <c r="M8" s="32">
        <f>M7*reach_intl*M22</f>
        <v/>
      </c>
      <c r="N8" s="32">
        <f>N7*reach_intl*N22</f>
        <v/>
      </c>
      <c r="O8" s="32">
        <f>O7*reach_intl*O22</f>
        <v/>
      </c>
      <c r="P8" s="32">
        <f>P7*reach_intl*P22</f>
        <v/>
      </c>
      <c r="Q8" s="32">
        <f>Q7*reach_intl*Q22</f>
        <v/>
      </c>
      <c r="R8" s="32">
        <f>R7*reach_intl*R22</f>
        <v/>
      </c>
      <c r="S8" s="32">
        <f>S7*reach_intl*S22</f>
        <v/>
      </c>
      <c r="T8" s="32">
        <f>T7*reach_intl*T22</f>
        <v/>
      </c>
      <c r="U8" s="32">
        <f>U7*reach_intl*U22</f>
        <v/>
      </c>
      <c r="V8" s="32">
        <f>V7*reach_intl*V22</f>
        <v/>
      </c>
      <c r="W8" s="32">
        <f>W7*reach_intl*W22</f>
        <v/>
      </c>
      <c r="X8" s="32">
        <f>X7*reach_intl*X22</f>
        <v/>
      </c>
      <c r="Y8" s="32">
        <f>Y7*reach_intl*Y22</f>
        <v/>
      </c>
      <c r="Z8" s="32">
        <f>Z7*reach_intl*Z22</f>
        <v/>
      </c>
      <c r="AA8" s="32">
        <f>AA7*reach_intl*AA22</f>
        <v/>
      </c>
      <c r="AB8" s="32">
        <f>AB7*reach_intl*AB22</f>
        <v/>
      </c>
      <c r="AC8" s="32">
        <f>AC7*reach_intl*AC22</f>
        <v/>
      </c>
    </row>
    <row r="9">
      <c r="A9" s="4" t="inlineStr">
        <is>
          <t>Total reachable</t>
        </is>
      </c>
      <c r="B9" s="32">
        <f>B6+B8</f>
        <v/>
      </c>
      <c r="C9" s="32">
        <f>C6+C8</f>
        <v/>
      </c>
      <c r="D9" s="32">
        <f>D6+D8</f>
        <v/>
      </c>
      <c r="E9" s="32">
        <f>E6+E8</f>
        <v/>
      </c>
      <c r="F9" s="32">
        <f>F6+F8</f>
        <v/>
      </c>
      <c r="G9" s="32">
        <f>G6+G8</f>
        <v/>
      </c>
      <c r="H9" s="32">
        <f>H6+H8</f>
        <v/>
      </c>
      <c r="I9" s="32">
        <f>I6+I8</f>
        <v/>
      </c>
      <c r="J9" s="32">
        <f>J6+J8</f>
        <v/>
      </c>
      <c r="K9" s="32">
        <f>K6+K8</f>
        <v/>
      </c>
      <c r="L9" s="32">
        <f>L6+L8</f>
        <v/>
      </c>
      <c r="M9" s="32">
        <f>M6+M8</f>
        <v/>
      </c>
      <c r="N9" s="32">
        <f>N6+N8</f>
        <v/>
      </c>
      <c r="O9" s="32">
        <f>O6+O8</f>
        <v/>
      </c>
      <c r="P9" s="32">
        <f>P6+P8</f>
        <v/>
      </c>
      <c r="Q9" s="32">
        <f>Q6+Q8</f>
        <v/>
      </c>
      <c r="R9" s="32">
        <f>R6+R8</f>
        <v/>
      </c>
      <c r="S9" s="32">
        <f>S6+S8</f>
        <v/>
      </c>
      <c r="T9" s="32">
        <f>T6+T8</f>
        <v/>
      </c>
      <c r="U9" s="32">
        <f>U6+U8</f>
        <v/>
      </c>
      <c r="V9" s="32">
        <f>V6+V8</f>
        <v/>
      </c>
      <c r="W9" s="32">
        <f>W6+W8</f>
        <v/>
      </c>
      <c r="X9" s="32">
        <f>X6+X8</f>
        <v/>
      </c>
      <c r="Y9" s="32">
        <f>Y6+Y8</f>
        <v/>
      </c>
      <c r="Z9" s="32">
        <f>Z6+Z8</f>
        <v/>
      </c>
      <c r="AA9" s="32">
        <f>AA6+AA8</f>
        <v/>
      </c>
      <c r="AB9" s="32">
        <f>AB6+AB8</f>
        <v/>
      </c>
      <c r="AC9" s="32">
        <f>AC6+AC8</f>
        <v/>
      </c>
    </row>
    <row r="10">
      <c r="A10" s="4" t="inlineStr">
        <is>
          <t>Cumulative signups (start of period)</t>
        </is>
      </c>
      <c r="B10" s="32" t="n">
        <v>0</v>
      </c>
      <c r="C10" s="32">
        <f>B10+B11</f>
        <v/>
      </c>
      <c r="D10" s="32">
        <f>C10+C11</f>
        <v/>
      </c>
      <c r="E10" s="32">
        <f>D10+D11</f>
        <v/>
      </c>
      <c r="F10" s="32">
        <f>E10+E11</f>
        <v/>
      </c>
      <c r="G10" s="32">
        <f>F10+F11</f>
        <v/>
      </c>
      <c r="H10" s="32">
        <f>G10+G11</f>
        <v/>
      </c>
      <c r="I10" s="32">
        <f>H10+H11</f>
        <v/>
      </c>
      <c r="J10" s="32">
        <f>I10+I11</f>
        <v/>
      </c>
      <c r="K10" s="32">
        <f>J10+J11</f>
        <v/>
      </c>
      <c r="L10" s="32">
        <f>K10+K11</f>
        <v/>
      </c>
      <c r="M10" s="32">
        <f>L10+L11</f>
        <v/>
      </c>
      <c r="N10" s="32">
        <f>M10+M11</f>
        <v/>
      </c>
      <c r="O10" s="32">
        <f>N10+N11</f>
        <v/>
      </c>
      <c r="P10" s="32">
        <f>O10+O11</f>
        <v/>
      </c>
      <c r="Q10" s="32">
        <f>P10+P11</f>
        <v/>
      </c>
      <c r="R10" s="32">
        <f>Q10+Q11</f>
        <v/>
      </c>
      <c r="S10" s="32">
        <f>R10+R11</f>
        <v/>
      </c>
      <c r="T10" s="32">
        <f>S10+S11</f>
        <v/>
      </c>
      <c r="U10" s="32">
        <f>T10+T11</f>
        <v/>
      </c>
      <c r="V10" s="32">
        <f>U10+U11</f>
        <v/>
      </c>
      <c r="W10" s="32">
        <f>V10+V11</f>
        <v/>
      </c>
      <c r="X10" s="32">
        <f>W10+W11</f>
        <v/>
      </c>
      <c r="Y10" s="32">
        <f>X10+X11</f>
        <v/>
      </c>
      <c r="Z10" s="32">
        <f>Y10+Y11</f>
        <v/>
      </c>
      <c r="AA10" s="32">
        <f>Z10+Z11</f>
        <v/>
      </c>
      <c r="AB10" s="32">
        <f>AA10+AA11</f>
        <v/>
      </c>
      <c r="AC10" s="32">
        <f>AB10+AB11</f>
        <v/>
      </c>
    </row>
    <row r="11">
      <c r="A11" s="4" t="inlineStr">
        <is>
          <t>New signups (period)</t>
        </is>
      </c>
      <c r="B11" s="32">
        <f>warm_y1/12+MAX(0,(B9-B10))*signup_rate*B20+B16*ref_invites*ref_conv*B20</f>
        <v/>
      </c>
      <c r="C11" s="32">
        <f>warm_y1/12+MAX(0,(C9-C10))*signup_rate*C20+B16*ref_invites*ref_conv*C20</f>
        <v/>
      </c>
      <c r="D11" s="32">
        <f>warm_y1/12+MAX(0,(D9-D10))*signup_rate*D20+C16*ref_invites*ref_conv*D20</f>
        <v/>
      </c>
      <c r="E11" s="32">
        <f>warm_y1/12+MAX(0,(E9-E10))*signup_rate*E20+D16*ref_invites*ref_conv*E20</f>
        <v/>
      </c>
      <c r="F11" s="32">
        <f>warm_y1/12+MAX(0,(F9-F10))*signup_rate*F20+E16*ref_invites*ref_conv*F20</f>
        <v/>
      </c>
      <c r="G11" s="32">
        <f>warm_y1/12+MAX(0,(G9-G10))*signup_rate*G20+F16*ref_invites*ref_conv*G20</f>
        <v/>
      </c>
      <c r="H11" s="32">
        <f>warm_y1/12+MAX(0,(H9-H10))*signup_rate*H20+G16*ref_invites*ref_conv*H20</f>
        <v/>
      </c>
      <c r="I11" s="32">
        <f>warm_y1/12+MAX(0,(I9-I10))*signup_rate*I20+H16*ref_invites*ref_conv*I20</f>
        <v/>
      </c>
      <c r="J11" s="32">
        <f>warm_y1/12+MAX(0,(J9-J10))*signup_rate*J20+I16*ref_invites*ref_conv*J20</f>
        <v/>
      </c>
      <c r="K11" s="32">
        <f>warm_y1/12+MAX(0,(K9-K10))*signup_rate*K20+J16*ref_invites*ref_conv*K20</f>
        <v/>
      </c>
      <c r="L11" s="32">
        <f>warm_y1/12+MAX(0,(L9-L10))*signup_rate*L20+K16*ref_invites*ref_conv*L20</f>
        <v/>
      </c>
      <c r="M11" s="32">
        <f>warm_y1/12+MAX(0,(M9-M10))*signup_rate*M20+L16*ref_invites*ref_conv*M20</f>
        <v/>
      </c>
      <c r="N11" s="32">
        <f>warm_yr/4+MAX(0,(N9-N10))*signup_rate*N20+M16*ref_invites*ref_conv*N20</f>
        <v/>
      </c>
      <c r="O11" s="32">
        <f>warm_yr/4+MAX(0,(O9-O10))*signup_rate*O20+N16*ref_invites*ref_conv*O20</f>
        <v/>
      </c>
      <c r="P11" s="32">
        <f>warm_yr/4+MAX(0,(P9-P10))*signup_rate*P20+O16*ref_invites*ref_conv*P20</f>
        <v/>
      </c>
      <c r="Q11" s="32">
        <f>warm_yr/4+MAX(0,(Q9-Q10))*signup_rate*Q20+P16*ref_invites*ref_conv*Q20</f>
        <v/>
      </c>
      <c r="R11" s="32">
        <f>warm_yr/4+MAX(0,(R9-R10))*signup_rate*R20+Q16*ref_invites*ref_conv*R20</f>
        <v/>
      </c>
      <c r="S11" s="32">
        <f>warm_yr/4+MAX(0,(S9-S10))*signup_rate*S20+R16*ref_invites*ref_conv*S20</f>
        <v/>
      </c>
      <c r="T11" s="32">
        <f>warm_yr/4+MAX(0,(T9-T10))*signup_rate*T20+S16*ref_invites*ref_conv*T20</f>
        <v/>
      </c>
      <c r="U11" s="32">
        <f>warm_yr/4+MAX(0,(U9-U10))*signup_rate*U20+T16*ref_invites*ref_conv*U20</f>
        <v/>
      </c>
      <c r="V11" s="32">
        <f>warm_yr/4+MAX(0,(V9-V10))*signup_rate*V20+U16*ref_invites*ref_conv*V20</f>
        <v/>
      </c>
      <c r="W11" s="32">
        <f>warm_yr/4+MAX(0,(W9-W10))*signup_rate*W20+V16*ref_invites*ref_conv*W20</f>
        <v/>
      </c>
      <c r="X11" s="32">
        <f>warm_yr/4+MAX(0,(X9-X10))*signup_rate*X20+W16*ref_invites*ref_conv*X20</f>
        <v/>
      </c>
      <c r="Y11" s="32">
        <f>warm_yr/4+MAX(0,(Y9-Y10))*signup_rate*Y20+X16*ref_invites*ref_conv*Y20</f>
        <v/>
      </c>
      <c r="Z11" s="32">
        <f>warm_yr/4+MAX(0,(Z9-Z10))*signup_rate*Z20+Y16*ref_invites*ref_conv*Z20</f>
        <v/>
      </c>
      <c r="AA11" s="32">
        <f>warm_yr/4+MAX(0,(AA9-AA10))*signup_rate*AA20+Z16*ref_invites*ref_conv*AA20</f>
        <v/>
      </c>
      <c r="AB11" s="32">
        <f>warm_yr/4+MAX(0,(AB9-AB10))*signup_rate*AB20+AA16*ref_invites*ref_conv*AB20</f>
        <v/>
      </c>
      <c r="AC11" s="32">
        <f>warm_yr/4+MAX(0,(AC9-AC10))*signup_rate*AC20+AB16*ref_invites*ref_conv*AC20</f>
        <v/>
      </c>
    </row>
    <row r="12">
      <c r="A12" s="4" t="inlineStr">
        <is>
          <t>New activations</t>
        </is>
      </c>
      <c r="B12" s="32">
        <f>B11*activation</f>
        <v/>
      </c>
      <c r="C12" s="32">
        <f>C11*activation</f>
        <v/>
      </c>
      <c r="D12" s="32">
        <f>D11*activation</f>
        <v/>
      </c>
      <c r="E12" s="32">
        <f>E11*activation</f>
        <v/>
      </c>
      <c r="F12" s="32">
        <f>F11*activation</f>
        <v/>
      </c>
      <c r="G12" s="32">
        <f>G11*activation</f>
        <v/>
      </c>
      <c r="H12" s="32">
        <f>H11*activation</f>
        <v/>
      </c>
      <c r="I12" s="32">
        <f>I11*activation</f>
        <v/>
      </c>
      <c r="J12" s="32">
        <f>J11*activation</f>
        <v/>
      </c>
      <c r="K12" s="32">
        <f>K11*activation</f>
        <v/>
      </c>
      <c r="L12" s="32">
        <f>L11*activation</f>
        <v/>
      </c>
      <c r="M12" s="32">
        <f>M11*activation</f>
        <v/>
      </c>
      <c r="N12" s="32">
        <f>N11*activation</f>
        <v/>
      </c>
      <c r="O12" s="32">
        <f>O11*activation</f>
        <v/>
      </c>
      <c r="P12" s="32">
        <f>P11*activation</f>
        <v/>
      </c>
      <c r="Q12" s="32">
        <f>Q11*activation</f>
        <v/>
      </c>
      <c r="R12" s="32">
        <f>R11*activation</f>
        <v/>
      </c>
      <c r="S12" s="32">
        <f>S11*activation</f>
        <v/>
      </c>
      <c r="T12" s="32">
        <f>T11*activation</f>
        <v/>
      </c>
      <c r="U12" s="32">
        <f>U11*activation</f>
        <v/>
      </c>
      <c r="V12" s="32">
        <f>V11*activation</f>
        <v/>
      </c>
      <c r="W12" s="32">
        <f>W11*activation</f>
        <v/>
      </c>
      <c r="X12" s="32">
        <f>X11*activation</f>
        <v/>
      </c>
      <c r="Y12" s="32">
        <f>Y11*activation</f>
        <v/>
      </c>
      <c r="Z12" s="32">
        <f>Z11*activation</f>
        <v/>
      </c>
      <c r="AA12" s="32">
        <f>AA11*activation</f>
        <v/>
      </c>
      <c r="AB12" s="32">
        <f>AB11*activation</f>
        <v/>
      </c>
      <c r="AC12" s="32">
        <f>AC11*activation</f>
        <v/>
      </c>
    </row>
    <row r="13">
      <c r="A13" s="4" t="inlineStr">
        <is>
          <t>New paying</t>
        </is>
      </c>
      <c r="B13" s="32">
        <f>B12*paid_conv</f>
        <v/>
      </c>
      <c r="C13" s="32">
        <f>C12*paid_conv</f>
        <v/>
      </c>
      <c r="D13" s="32">
        <f>D12*paid_conv</f>
        <v/>
      </c>
      <c r="E13" s="32">
        <f>E12*paid_conv</f>
        <v/>
      </c>
      <c r="F13" s="32">
        <f>F12*paid_conv</f>
        <v/>
      </c>
      <c r="G13" s="32">
        <f>G12*paid_conv</f>
        <v/>
      </c>
      <c r="H13" s="32">
        <f>H12*paid_conv</f>
        <v/>
      </c>
      <c r="I13" s="32">
        <f>I12*paid_conv</f>
        <v/>
      </c>
      <c r="J13" s="32">
        <f>J12*paid_conv</f>
        <v/>
      </c>
      <c r="K13" s="32">
        <f>K12*paid_conv</f>
        <v/>
      </c>
      <c r="L13" s="32">
        <f>L12*paid_conv</f>
        <v/>
      </c>
      <c r="M13" s="32">
        <f>M12*paid_conv</f>
        <v/>
      </c>
      <c r="N13" s="32">
        <f>N12*paid_conv</f>
        <v/>
      </c>
      <c r="O13" s="32">
        <f>O12*paid_conv</f>
        <v/>
      </c>
      <c r="P13" s="32">
        <f>P12*paid_conv</f>
        <v/>
      </c>
      <c r="Q13" s="32">
        <f>Q12*paid_conv</f>
        <v/>
      </c>
      <c r="R13" s="32">
        <f>R12*paid_conv</f>
        <v/>
      </c>
      <c r="S13" s="32">
        <f>S12*paid_conv</f>
        <v/>
      </c>
      <c r="T13" s="32">
        <f>T12*paid_conv</f>
        <v/>
      </c>
      <c r="U13" s="32">
        <f>U12*paid_conv</f>
        <v/>
      </c>
      <c r="V13" s="32">
        <f>V12*paid_conv</f>
        <v/>
      </c>
      <c r="W13" s="32">
        <f>W12*paid_conv</f>
        <v/>
      </c>
      <c r="X13" s="32">
        <f>X12*paid_conv</f>
        <v/>
      </c>
      <c r="Y13" s="32">
        <f>Y12*paid_conv</f>
        <v/>
      </c>
      <c r="Z13" s="32">
        <f>Z12*paid_conv</f>
        <v/>
      </c>
      <c r="AA13" s="32">
        <f>AA12*paid_conv</f>
        <v/>
      </c>
      <c r="AB13" s="32">
        <f>AB12*paid_conv</f>
        <v/>
      </c>
      <c r="AC13" s="32">
        <f>AC12*paid_conv</f>
        <v/>
      </c>
    </row>
    <row r="14">
      <c r="A14" s="4" t="inlineStr">
        <is>
          <t>Churned paying</t>
        </is>
      </c>
      <c r="B14" s="32" t="n">
        <v>0</v>
      </c>
      <c r="C14" s="32">
        <f>B16*churn</f>
        <v/>
      </c>
      <c r="D14" s="32">
        <f>C16*churn</f>
        <v/>
      </c>
      <c r="E14" s="32">
        <f>D16*churn</f>
        <v/>
      </c>
      <c r="F14" s="32">
        <f>E16*churn</f>
        <v/>
      </c>
      <c r="G14" s="32">
        <f>F16*churn</f>
        <v/>
      </c>
      <c r="H14" s="32">
        <f>G16*churn</f>
        <v/>
      </c>
      <c r="I14" s="32">
        <f>H16*churn</f>
        <v/>
      </c>
      <c r="J14" s="32">
        <f>I16*churn</f>
        <v/>
      </c>
      <c r="K14" s="32">
        <f>J16*churn</f>
        <v/>
      </c>
      <c r="L14" s="32">
        <f>K16*churn</f>
        <v/>
      </c>
      <c r="M14" s="32">
        <f>L16*churn</f>
        <v/>
      </c>
      <c r="N14" s="32">
        <f>M16*(1-(1-churn)^3)</f>
        <v/>
      </c>
      <c r="O14" s="32">
        <f>N16*(1-(1-churn)^3)</f>
        <v/>
      </c>
      <c r="P14" s="32">
        <f>O16*(1-(1-churn)^3)</f>
        <v/>
      </c>
      <c r="Q14" s="32">
        <f>P16*(1-(1-churn)^3)</f>
        <v/>
      </c>
      <c r="R14" s="32">
        <f>Q16*(1-(1-churn)^3)</f>
        <v/>
      </c>
      <c r="S14" s="32">
        <f>R16*(1-(1-churn)^3)</f>
        <v/>
      </c>
      <c r="T14" s="32">
        <f>S16*(1-(1-churn)^3)</f>
        <v/>
      </c>
      <c r="U14" s="32">
        <f>T16*(1-(1-churn)^3)</f>
        <v/>
      </c>
      <c r="V14" s="32">
        <f>U16*(1-(1-churn)^3)</f>
        <v/>
      </c>
      <c r="W14" s="32">
        <f>V16*(1-(1-churn)^3)</f>
        <v/>
      </c>
      <c r="X14" s="32">
        <f>W16*(1-(1-churn)^3)</f>
        <v/>
      </c>
      <c r="Y14" s="32">
        <f>X16*(1-(1-churn)^3)</f>
        <v/>
      </c>
      <c r="Z14" s="32">
        <f>Y16*(1-(1-churn)^3)</f>
        <v/>
      </c>
      <c r="AA14" s="32">
        <f>Z16*(1-(1-churn)^3)</f>
        <v/>
      </c>
      <c r="AB14" s="32">
        <f>AA16*(1-(1-churn)^3)</f>
        <v/>
      </c>
      <c r="AC14" s="32">
        <f>AB16*(1-(1-churn)^3)</f>
        <v/>
      </c>
    </row>
    <row r="15">
      <c r="A15" s="4" t="inlineStr">
        <is>
          <t>Net new paying</t>
        </is>
      </c>
      <c r="B15" s="32">
        <f>B13-B14</f>
        <v/>
      </c>
      <c r="C15" s="32">
        <f>C13-C14</f>
        <v/>
      </c>
      <c r="D15" s="32">
        <f>D13-D14</f>
        <v/>
      </c>
      <c r="E15" s="32">
        <f>E13-E14</f>
        <v/>
      </c>
      <c r="F15" s="32">
        <f>F13-F14</f>
        <v/>
      </c>
      <c r="G15" s="32">
        <f>G13-G14</f>
        <v/>
      </c>
      <c r="H15" s="32">
        <f>H13-H14</f>
        <v/>
      </c>
      <c r="I15" s="32">
        <f>I13-I14</f>
        <v/>
      </c>
      <c r="J15" s="32">
        <f>J13-J14</f>
        <v/>
      </c>
      <c r="K15" s="32">
        <f>K13-K14</f>
        <v/>
      </c>
      <c r="L15" s="32">
        <f>L13-L14</f>
        <v/>
      </c>
      <c r="M15" s="32">
        <f>M13-M14</f>
        <v/>
      </c>
      <c r="N15" s="32">
        <f>N13-N14</f>
        <v/>
      </c>
      <c r="O15" s="32">
        <f>O13-O14</f>
        <v/>
      </c>
      <c r="P15" s="32">
        <f>P13-P14</f>
        <v/>
      </c>
      <c r="Q15" s="32">
        <f>Q13-Q14</f>
        <v/>
      </c>
      <c r="R15" s="32">
        <f>R13-R14</f>
        <v/>
      </c>
      <c r="S15" s="32">
        <f>S13-S14</f>
        <v/>
      </c>
      <c r="T15" s="32">
        <f>T13-T14</f>
        <v/>
      </c>
      <c r="U15" s="32">
        <f>U13-U14</f>
        <v/>
      </c>
      <c r="V15" s="32">
        <f>V13-V14</f>
        <v/>
      </c>
      <c r="W15" s="32">
        <f>W13-W14</f>
        <v/>
      </c>
      <c r="X15" s="32">
        <f>X13-X14</f>
        <v/>
      </c>
      <c r="Y15" s="32">
        <f>Y13-Y14</f>
        <v/>
      </c>
      <c r="Z15" s="32">
        <f>Z13-Z14</f>
        <v/>
      </c>
      <c r="AA15" s="32">
        <f>AA13-AA14</f>
        <v/>
      </c>
      <c r="AB15" s="32">
        <f>AB13-AB14</f>
        <v/>
      </c>
      <c r="AC15" s="32">
        <f>AC13-AC14</f>
        <v/>
      </c>
    </row>
    <row r="16">
      <c r="A16" s="4" t="inlineStr">
        <is>
          <t>Cumulative paying (end of period)</t>
        </is>
      </c>
      <c r="B16" s="32">
        <f>B15</f>
        <v/>
      </c>
      <c r="C16" s="32">
        <f>B16+C15</f>
        <v/>
      </c>
      <c r="D16" s="32">
        <f>C16+D15</f>
        <v/>
      </c>
      <c r="E16" s="32">
        <f>D16+E15</f>
        <v/>
      </c>
      <c r="F16" s="32">
        <f>E16+F15</f>
        <v/>
      </c>
      <c r="G16" s="32">
        <f>F16+G15</f>
        <v/>
      </c>
      <c r="H16" s="32">
        <f>G16+H15</f>
        <v/>
      </c>
      <c r="I16" s="32">
        <f>H16+I15</f>
        <v/>
      </c>
      <c r="J16" s="32">
        <f>I16+J15</f>
        <v/>
      </c>
      <c r="K16" s="32">
        <f>J16+K15</f>
        <v/>
      </c>
      <c r="L16" s="32">
        <f>K16+L15</f>
        <v/>
      </c>
      <c r="M16" s="32">
        <f>L16+M15</f>
        <v/>
      </c>
      <c r="N16" s="32">
        <f>M16+N15</f>
        <v/>
      </c>
      <c r="O16" s="32">
        <f>N16+O15</f>
        <v/>
      </c>
      <c r="P16" s="32">
        <f>O16+P15</f>
        <v/>
      </c>
      <c r="Q16" s="32">
        <f>P16+Q15</f>
        <v/>
      </c>
      <c r="R16" s="32">
        <f>Q16+R15</f>
        <v/>
      </c>
      <c r="S16" s="32">
        <f>R16+S15</f>
        <v/>
      </c>
      <c r="T16" s="32">
        <f>S16+T15</f>
        <v/>
      </c>
      <c r="U16" s="32">
        <f>T16+U15</f>
        <v/>
      </c>
      <c r="V16" s="32">
        <f>U16+V15</f>
        <v/>
      </c>
      <c r="W16" s="32">
        <f>V16+W15</f>
        <v/>
      </c>
      <c r="X16" s="32">
        <f>W16+X15</f>
        <v/>
      </c>
      <c r="Y16" s="32">
        <f>X16+Y15</f>
        <v/>
      </c>
      <c r="Z16" s="32">
        <f>Y16+Z15</f>
        <v/>
      </c>
      <c r="AA16" s="32">
        <f>Z16+AA15</f>
        <v/>
      </c>
      <c r="AB16" s="32">
        <f>AA16+AB15</f>
        <v/>
      </c>
      <c r="AC16" s="32">
        <f>AB16+AC15</f>
        <v/>
      </c>
    </row>
    <row r="17">
      <c r="A17" s="4" t="inlineStr">
        <is>
          <t>Active paying (publishing) in period</t>
        </is>
      </c>
      <c r="B17" s="32">
        <f>B16</f>
        <v/>
      </c>
      <c r="C17" s="32">
        <f>C16</f>
        <v/>
      </c>
      <c r="D17" s="32">
        <f>D16</f>
        <v/>
      </c>
      <c r="E17" s="32">
        <f>E16</f>
        <v/>
      </c>
      <c r="F17" s="32">
        <f>F16</f>
        <v/>
      </c>
      <c r="G17" s="32">
        <f>G16</f>
        <v/>
      </c>
      <c r="H17" s="32">
        <f>H16</f>
        <v/>
      </c>
      <c r="I17" s="32">
        <f>I16</f>
        <v/>
      </c>
      <c r="J17" s="32">
        <f>J16</f>
        <v/>
      </c>
      <c r="K17" s="32">
        <f>K16</f>
        <v/>
      </c>
      <c r="L17" s="32">
        <f>L16</f>
        <v/>
      </c>
      <c r="M17" s="32">
        <f>M16</f>
        <v/>
      </c>
      <c r="N17" s="32">
        <f>N16</f>
        <v/>
      </c>
      <c r="O17" s="32">
        <f>O16</f>
        <v/>
      </c>
      <c r="P17" s="32">
        <f>P16</f>
        <v/>
      </c>
      <c r="Q17" s="32">
        <f>Q16</f>
        <v/>
      </c>
      <c r="R17" s="32">
        <f>R16</f>
        <v/>
      </c>
      <c r="S17" s="32">
        <f>S16</f>
        <v/>
      </c>
      <c r="T17" s="32">
        <f>T16</f>
        <v/>
      </c>
      <c r="U17" s="32">
        <f>U16</f>
        <v/>
      </c>
      <c r="V17" s="32">
        <f>V16</f>
        <v/>
      </c>
      <c r="W17" s="32">
        <f>W16</f>
        <v/>
      </c>
      <c r="X17" s="32">
        <f>X16</f>
        <v/>
      </c>
      <c r="Y17" s="32">
        <f>Y16</f>
        <v/>
      </c>
      <c r="Z17" s="32">
        <f>Z16</f>
        <v/>
      </c>
      <c r="AA17" s="32">
        <f>AA16</f>
        <v/>
      </c>
      <c r="AB17" s="32">
        <f>AB16</f>
        <v/>
      </c>
      <c r="AC17" s="32">
        <f>AC16</f>
        <v/>
      </c>
    </row>
    <row r="18">
      <c r="A18" s="4" t="inlineStr">
        <is>
          <t>Referral invites generated</t>
        </is>
      </c>
      <c r="B18" s="32">
        <f>B17*ref_invites*B20</f>
        <v/>
      </c>
      <c r="C18" s="32">
        <f>C17*ref_invites*C20</f>
        <v/>
      </c>
      <c r="D18" s="32">
        <f>D17*ref_invites*D20</f>
        <v/>
      </c>
      <c r="E18" s="32">
        <f>E17*ref_invites*E20</f>
        <v/>
      </c>
      <c r="F18" s="32">
        <f>F17*ref_invites*F20</f>
        <v/>
      </c>
      <c r="G18" s="32">
        <f>G17*ref_invites*G20</f>
        <v/>
      </c>
      <c r="H18" s="32">
        <f>H17*ref_invites*H20</f>
        <v/>
      </c>
      <c r="I18" s="32">
        <f>I17*ref_invites*I20</f>
        <v/>
      </c>
      <c r="J18" s="32">
        <f>J17*ref_invites*J20</f>
        <v/>
      </c>
      <c r="K18" s="32">
        <f>K17*ref_invites*K20</f>
        <v/>
      </c>
      <c r="L18" s="32">
        <f>L17*ref_invites*L20</f>
        <v/>
      </c>
      <c r="M18" s="32">
        <f>M17*ref_invites*M20</f>
        <v/>
      </c>
      <c r="N18" s="32">
        <f>N17*ref_invites*N20</f>
        <v/>
      </c>
      <c r="O18" s="32">
        <f>O17*ref_invites*O20</f>
        <v/>
      </c>
      <c r="P18" s="32">
        <f>P17*ref_invites*P20</f>
        <v/>
      </c>
      <c r="Q18" s="32">
        <f>Q17*ref_invites*Q20</f>
        <v/>
      </c>
      <c r="R18" s="32">
        <f>R17*ref_invites*R20</f>
        <v/>
      </c>
      <c r="S18" s="32">
        <f>S17*ref_invites*S20</f>
        <v/>
      </c>
      <c r="T18" s="32">
        <f>T17*ref_invites*T20</f>
        <v/>
      </c>
      <c r="U18" s="32">
        <f>U17*ref_invites*U20</f>
        <v/>
      </c>
      <c r="V18" s="32">
        <f>V17*ref_invites*V20</f>
        <v/>
      </c>
      <c r="W18" s="32">
        <f>W17*ref_invites*W20</f>
        <v/>
      </c>
      <c r="X18" s="32">
        <f>X17*ref_invites*X20</f>
        <v/>
      </c>
      <c r="Y18" s="32">
        <f>Y17*ref_invites*Y20</f>
        <v/>
      </c>
      <c r="Z18" s="32">
        <f>Z17*ref_invites*Z20</f>
        <v/>
      </c>
      <c r="AA18" s="32">
        <f>AA17*ref_invites*AA20</f>
        <v/>
      </c>
      <c r="AB18" s="32">
        <f>AB17*ref_invites*AB20</f>
        <v/>
      </c>
      <c r="AC18" s="32">
        <f>AC17*ref_invites*AC20</f>
        <v/>
      </c>
    </row>
    <row r="19">
      <c r="A19" s="4" t="inlineStr">
        <is>
          <t>Referrals that signed up</t>
        </is>
      </c>
      <c r="B19" s="32">
        <f>B18*ref_conv</f>
        <v/>
      </c>
      <c r="C19" s="32">
        <f>C18*ref_conv</f>
        <v/>
      </c>
      <c r="D19" s="32">
        <f>D18*ref_conv</f>
        <v/>
      </c>
      <c r="E19" s="32">
        <f>E18*ref_conv</f>
        <v/>
      </c>
      <c r="F19" s="32">
        <f>F18*ref_conv</f>
        <v/>
      </c>
      <c r="G19" s="32">
        <f>G18*ref_conv</f>
        <v/>
      </c>
      <c r="H19" s="32">
        <f>H18*ref_conv</f>
        <v/>
      </c>
      <c r="I19" s="32">
        <f>I18*ref_conv</f>
        <v/>
      </c>
      <c r="J19" s="32">
        <f>J18*ref_conv</f>
        <v/>
      </c>
      <c r="K19" s="32">
        <f>K18*ref_conv</f>
        <v/>
      </c>
      <c r="L19" s="32">
        <f>L18*ref_conv</f>
        <v/>
      </c>
      <c r="M19" s="32">
        <f>M18*ref_conv</f>
        <v/>
      </c>
      <c r="N19" s="32">
        <f>N18*ref_conv</f>
        <v/>
      </c>
      <c r="O19" s="32">
        <f>O18*ref_conv</f>
        <v/>
      </c>
      <c r="P19" s="32">
        <f>P18*ref_conv</f>
        <v/>
      </c>
      <c r="Q19" s="32">
        <f>Q18*ref_conv</f>
        <v/>
      </c>
      <c r="R19" s="32">
        <f>R18*ref_conv</f>
        <v/>
      </c>
      <c r="S19" s="32">
        <f>S18*ref_conv</f>
        <v/>
      </c>
      <c r="T19" s="32">
        <f>T18*ref_conv</f>
        <v/>
      </c>
      <c r="U19" s="32">
        <f>U18*ref_conv</f>
        <v/>
      </c>
      <c r="V19" s="32">
        <f>V18*ref_conv</f>
        <v/>
      </c>
      <c r="W19" s="32">
        <f>W18*ref_conv</f>
        <v/>
      </c>
      <c r="X19" s="32">
        <f>X18*ref_conv</f>
        <v/>
      </c>
      <c r="Y19" s="32">
        <f>Y18*ref_conv</f>
        <v/>
      </c>
      <c r="Z19" s="32">
        <f>Z18*ref_conv</f>
        <v/>
      </c>
      <c r="AA19" s="32">
        <f>AA18*ref_conv</f>
        <v/>
      </c>
      <c r="AB19" s="32">
        <f>AB18*ref_conv</f>
        <v/>
      </c>
      <c r="AC19" s="32">
        <f>AC18*ref_conv</f>
        <v/>
      </c>
    </row>
    <row r="20">
      <c r="A20" s="4" t="inlineStr">
        <is>
          <t>Fraction-of-year</t>
        </is>
      </c>
      <c r="B20" s="33" t="n">
        <v>0.08333333333333333</v>
      </c>
      <c r="C20" s="33" t="n">
        <v>0.08333333333333333</v>
      </c>
      <c r="D20" s="33" t="n">
        <v>0.08333333333333333</v>
      </c>
      <c r="E20" s="33" t="n">
        <v>0.08333333333333333</v>
      </c>
      <c r="F20" s="33" t="n">
        <v>0.08333333333333333</v>
      </c>
      <c r="G20" s="33" t="n">
        <v>0.08333333333333333</v>
      </c>
      <c r="H20" s="33" t="n">
        <v>0.08333333333333333</v>
      </c>
      <c r="I20" s="33" t="n">
        <v>0.08333333333333333</v>
      </c>
      <c r="J20" s="33" t="n">
        <v>0.08333333333333333</v>
      </c>
      <c r="K20" s="33" t="n">
        <v>0.08333333333333333</v>
      </c>
      <c r="L20" s="33" t="n">
        <v>0.08333333333333333</v>
      </c>
      <c r="M20" s="33" t="n">
        <v>0.08333333333333333</v>
      </c>
      <c r="N20" s="33" t="n">
        <v>0.25</v>
      </c>
      <c r="O20" s="33" t="n">
        <v>0.25</v>
      </c>
      <c r="P20" s="33" t="n">
        <v>0.25</v>
      </c>
      <c r="Q20" s="33" t="n">
        <v>0.25</v>
      </c>
      <c r="R20" s="33" t="n">
        <v>0.25</v>
      </c>
      <c r="S20" s="33" t="n">
        <v>0.25</v>
      </c>
      <c r="T20" s="33" t="n">
        <v>0.25</v>
      </c>
      <c r="U20" s="33" t="n">
        <v>0.25</v>
      </c>
      <c r="V20" s="33" t="n">
        <v>0.25</v>
      </c>
      <c r="W20" s="33" t="n">
        <v>0.25</v>
      </c>
      <c r="X20" s="33" t="n">
        <v>0.25</v>
      </c>
      <c r="Y20" s="33" t="n">
        <v>0.25</v>
      </c>
      <c r="Z20" s="33" t="n">
        <v>0.25</v>
      </c>
      <c r="AA20" s="33" t="n">
        <v>0.25</v>
      </c>
      <c r="AB20" s="33" t="n">
        <v>0.25</v>
      </c>
      <c r="AC20" s="33" t="n">
        <v>0.25</v>
      </c>
    </row>
    <row r="21">
      <c r="A21" s="34" t="inlineStr">
        <is>
          <t>(helper) Year number of this period</t>
        </is>
      </c>
      <c r="B21" s="32" t="n">
        <v>1</v>
      </c>
      <c r="C21" s="32" t="n">
        <v>1</v>
      </c>
      <c r="D21" s="32" t="n">
        <v>1</v>
      </c>
      <c r="E21" s="32" t="n">
        <v>1</v>
      </c>
      <c r="F21" s="32" t="n">
        <v>1</v>
      </c>
      <c r="G21" s="32" t="n">
        <v>1</v>
      </c>
      <c r="H21" s="32" t="n">
        <v>1</v>
      </c>
      <c r="I21" s="32" t="n">
        <v>1</v>
      </c>
      <c r="J21" s="32" t="n">
        <v>1</v>
      </c>
      <c r="K21" s="32" t="n">
        <v>1</v>
      </c>
      <c r="L21" s="32" t="n">
        <v>1</v>
      </c>
      <c r="M21" s="32" t="n">
        <v>1</v>
      </c>
      <c r="N21" s="32" t="n">
        <v>2</v>
      </c>
      <c r="O21" s="32" t="n">
        <v>2</v>
      </c>
      <c r="P21" s="32" t="n">
        <v>2</v>
      </c>
      <c r="Q21" s="32" t="n">
        <v>2</v>
      </c>
      <c r="R21" s="32" t="n">
        <v>3</v>
      </c>
      <c r="S21" s="32" t="n">
        <v>3</v>
      </c>
      <c r="T21" s="32" t="n">
        <v>3</v>
      </c>
      <c r="U21" s="32" t="n">
        <v>3</v>
      </c>
      <c r="V21" s="32" t="n">
        <v>4</v>
      </c>
      <c r="W21" s="32" t="n">
        <v>4</v>
      </c>
      <c r="X21" s="32" t="n">
        <v>4</v>
      </c>
      <c r="Y21" s="32" t="n">
        <v>4</v>
      </c>
      <c r="Z21" s="32" t="n">
        <v>5</v>
      </c>
      <c r="AA21" s="32" t="n">
        <v>5</v>
      </c>
      <c r="AB21" s="32" t="n">
        <v>5</v>
      </c>
      <c r="AC21" s="32" t="n">
        <v>5</v>
      </c>
    </row>
    <row r="22">
      <c r="A22" s="34" t="inlineStr">
        <is>
          <t>(helper) Is intl active? 0/1</t>
        </is>
      </c>
      <c r="B22" s="32">
        <f>IF(B21&gt;=intl_start_year,1,0)</f>
        <v/>
      </c>
      <c r="C22" s="32">
        <f>IF(C21&gt;=intl_start_year,1,0)</f>
        <v/>
      </c>
      <c r="D22" s="32">
        <f>IF(D21&gt;=intl_start_year,1,0)</f>
        <v/>
      </c>
      <c r="E22" s="32">
        <f>IF(E21&gt;=intl_start_year,1,0)</f>
        <v/>
      </c>
      <c r="F22" s="32">
        <f>IF(F21&gt;=intl_start_year,1,0)</f>
        <v/>
      </c>
      <c r="G22" s="32">
        <f>IF(G21&gt;=intl_start_year,1,0)</f>
        <v/>
      </c>
      <c r="H22" s="32">
        <f>IF(H21&gt;=intl_start_year,1,0)</f>
        <v/>
      </c>
      <c r="I22" s="32">
        <f>IF(I21&gt;=intl_start_year,1,0)</f>
        <v/>
      </c>
      <c r="J22" s="32">
        <f>IF(J21&gt;=intl_start_year,1,0)</f>
        <v/>
      </c>
      <c r="K22" s="32">
        <f>IF(K21&gt;=intl_start_year,1,0)</f>
        <v/>
      </c>
      <c r="L22" s="32">
        <f>IF(L21&gt;=intl_start_year,1,0)</f>
        <v/>
      </c>
      <c r="M22" s="32">
        <f>IF(M21&gt;=intl_start_year,1,0)</f>
        <v/>
      </c>
      <c r="N22" s="32">
        <f>IF(N21&gt;=intl_start_year,1,0)</f>
        <v/>
      </c>
      <c r="O22" s="32">
        <f>IF(O21&gt;=intl_start_year,1,0)</f>
        <v/>
      </c>
      <c r="P22" s="32">
        <f>IF(P21&gt;=intl_start_year,1,0)</f>
        <v/>
      </c>
      <c r="Q22" s="32">
        <f>IF(Q21&gt;=intl_start_year,1,0)</f>
        <v/>
      </c>
      <c r="R22" s="32">
        <f>IF(R21&gt;=intl_start_year,1,0)</f>
        <v/>
      </c>
      <c r="S22" s="32">
        <f>IF(S21&gt;=intl_start_year,1,0)</f>
        <v/>
      </c>
      <c r="T22" s="32">
        <f>IF(T21&gt;=intl_start_year,1,0)</f>
        <v/>
      </c>
      <c r="U22" s="32">
        <f>IF(U21&gt;=intl_start_year,1,0)</f>
        <v/>
      </c>
      <c r="V22" s="32">
        <f>IF(V21&gt;=intl_start_year,1,0)</f>
        <v/>
      </c>
      <c r="W22" s="32">
        <f>IF(W21&gt;=intl_start_year,1,0)</f>
        <v/>
      </c>
      <c r="X22" s="32">
        <f>IF(X21&gt;=intl_start_year,1,0)</f>
        <v/>
      </c>
      <c r="Y22" s="32">
        <f>IF(Y21&gt;=intl_start_year,1,0)</f>
        <v/>
      </c>
      <c r="Z22" s="32">
        <f>IF(Z21&gt;=intl_start_year,1,0)</f>
        <v/>
      </c>
      <c r="AA22" s="32">
        <f>IF(AA21&gt;=intl_start_year,1,0)</f>
        <v/>
      </c>
      <c r="AB22" s="32">
        <f>IF(AB21&gt;=intl_start_year,1,0)</f>
        <v/>
      </c>
      <c r="AC22" s="32">
        <f>IF(AC21&gt;=intl_start_year,1,0)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30" t="inlineStr">
        <is>
          <t>Revenue — credit economics</t>
        </is>
      </c>
    </row>
    <row r="2">
      <c r="A2" s="8" t="inlineStr">
        <is>
          <t>Active-paying × plans/month × credits/plan × R/credit × consume rate = gross.</t>
        </is>
      </c>
    </row>
    <row r="4">
      <c r="A4" s="31" t="inlineStr">
        <is>
          <t>Metric</t>
        </is>
      </c>
      <c r="B4" s="10" t="inlineStr">
        <is>
          <t>Y1 M1</t>
        </is>
      </c>
      <c r="C4" s="10" t="inlineStr">
        <is>
          <t>Y1 M2</t>
        </is>
      </c>
      <c r="D4" s="10" t="inlineStr">
        <is>
          <t>Y1 M3</t>
        </is>
      </c>
      <c r="E4" s="10" t="inlineStr">
        <is>
          <t>Y1 M4</t>
        </is>
      </c>
      <c r="F4" s="10" t="inlineStr">
        <is>
          <t>Y1 M5</t>
        </is>
      </c>
      <c r="G4" s="10" t="inlineStr">
        <is>
          <t>Y1 M6</t>
        </is>
      </c>
      <c r="H4" s="10" t="inlineStr">
        <is>
          <t>Y1 M7</t>
        </is>
      </c>
      <c r="I4" s="10" t="inlineStr">
        <is>
          <t>Y1 M8</t>
        </is>
      </c>
      <c r="J4" s="10" t="inlineStr">
        <is>
          <t>Y1 M9</t>
        </is>
      </c>
      <c r="K4" s="10" t="inlineStr">
        <is>
          <t>Y1 M10</t>
        </is>
      </c>
      <c r="L4" s="10" t="inlineStr">
        <is>
          <t>Y1 M11</t>
        </is>
      </c>
      <c r="M4" s="10" t="inlineStr">
        <is>
          <t>Y1 M12</t>
        </is>
      </c>
      <c r="N4" s="10" t="inlineStr">
        <is>
          <t>Y2 Q1</t>
        </is>
      </c>
      <c r="O4" s="10" t="inlineStr">
        <is>
          <t>Y2 Q2</t>
        </is>
      </c>
      <c r="P4" s="10" t="inlineStr">
        <is>
          <t>Y2 Q3</t>
        </is>
      </c>
      <c r="Q4" s="10" t="inlineStr">
        <is>
          <t>Y2 Q4</t>
        </is>
      </c>
      <c r="R4" s="10" t="inlineStr">
        <is>
          <t>Y3 Q1</t>
        </is>
      </c>
      <c r="S4" s="10" t="inlineStr">
        <is>
          <t>Y3 Q2</t>
        </is>
      </c>
      <c r="T4" s="10" t="inlineStr">
        <is>
          <t>Y3 Q3</t>
        </is>
      </c>
      <c r="U4" s="10" t="inlineStr">
        <is>
          <t>Y3 Q4</t>
        </is>
      </c>
      <c r="V4" s="10" t="inlineStr">
        <is>
          <t>Y4 Q1</t>
        </is>
      </c>
      <c r="W4" s="10" t="inlineStr">
        <is>
          <t>Y4 Q2</t>
        </is>
      </c>
      <c r="X4" s="10" t="inlineStr">
        <is>
          <t>Y4 Q3</t>
        </is>
      </c>
      <c r="Y4" s="10" t="inlineStr">
        <is>
          <t>Y4 Q4</t>
        </is>
      </c>
      <c r="Z4" s="10" t="inlineStr">
        <is>
          <t>Y5 Q1</t>
        </is>
      </c>
      <c r="AA4" s="10" t="inlineStr">
        <is>
          <t>Y5 Q2</t>
        </is>
      </c>
      <c r="AB4" s="10" t="inlineStr">
        <is>
          <t>Y5 Q3</t>
        </is>
      </c>
      <c r="AC4" s="10" t="inlineStr">
        <is>
          <t>Y5 Q4</t>
        </is>
      </c>
    </row>
    <row r="5">
      <c r="A5" s="4" t="inlineStr">
        <is>
          <t>Active paying practitioners</t>
        </is>
      </c>
      <c r="B5" s="32">
        <f>Growth!B17</f>
        <v/>
      </c>
      <c r="C5" s="32">
        <f>Growth!C17</f>
        <v/>
      </c>
      <c r="D5" s="32">
        <f>Growth!D17</f>
        <v/>
      </c>
      <c r="E5" s="32">
        <f>Growth!E17</f>
        <v/>
      </c>
      <c r="F5" s="32">
        <f>Growth!F17</f>
        <v/>
      </c>
      <c r="G5" s="32">
        <f>Growth!G17</f>
        <v/>
      </c>
      <c r="H5" s="32">
        <f>Growth!H17</f>
        <v/>
      </c>
      <c r="I5" s="32">
        <f>Growth!I17</f>
        <v/>
      </c>
      <c r="J5" s="32">
        <f>Growth!J17</f>
        <v/>
      </c>
      <c r="K5" s="32">
        <f>Growth!K17</f>
        <v/>
      </c>
      <c r="L5" s="32">
        <f>Growth!L17</f>
        <v/>
      </c>
      <c r="M5" s="32">
        <f>Growth!M17</f>
        <v/>
      </c>
      <c r="N5" s="32">
        <f>Growth!N17</f>
        <v/>
      </c>
      <c r="O5" s="32">
        <f>Growth!O17</f>
        <v/>
      </c>
      <c r="P5" s="32">
        <f>Growth!P17</f>
        <v/>
      </c>
      <c r="Q5" s="32">
        <f>Growth!Q17</f>
        <v/>
      </c>
      <c r="R5" s="32">
        <f>Growth!R17</f>
        <v/>
      </c>
      <c r="S5" s="32">
        <f>Growth!S17</f>
        <v/>
      </c>
      <c r="T5" s="32">
        <f>Growth!T17</f>
        <v/>
      </c>
      <c r="U5" s="32">
        <f>Growth!U17</f>
        <v/>
      </c>
      <c r="V5" s="32">
        <f>Growth!V17</f>
        <v/>
      </c>
      <c r="W5" s="32">
        <f>Growth!W17</f>
        <v/>
      </c>
      <c r="X5" s="32">
        <f>Growth!X17</f>
        <v/>
      </c>
      <c r="Y5" s="32">
        <f>Growth!Y17</f>
        <v/>
      </c>
      <c r="Z5" s="32">
        <f>Growth!Z17</f>
        <v/>
      </c>
      <c r="AA5" s="32">
        <f>Growth!AA17</f>
        <v/>
      </c>
      <c r="AB5" s="32">
        <f>Growth!AB17</f>
        <v/>
      </c>
      <c r="AC5" s="32">
        <f>Growth!AC17</f>
        <v/>
      </c>
    </row>
    <row r="6">
      <c r="A6" s="4" t="inlineStr">
        <is>
          <t>Plans published in period</t>
        </is>
      </c>
      <c r="B6" s="32">
        <f>B5*plans_per_prac*1</f>
        <v/>
      </c>
      <c r="C6" s="32">
        <f>C5*plans_per_prac*1</f>
        <v/>
      </c>
      <c r="D6" s="32">
        <f>D5*plans_per_prac*1</f>
        <v/>
      </c>
      <c r="E6" s="32">
        <f>E5*plans_per_prac*1</f>
        <v/>
      </c>
      <c r="F6" s="32">
        <f>F5*plans_per_prac*1</f>
        <v/>
      </c>
      <c r="G6" s="32">
        <f>G5*plans_per_prac*1</f>
        <v/>
      </c>
      <c r="H6" s="32">
        <f>H5*plans_per_prac*1</f>
        <v/>
      </c>
      <c r="I6" s="32">
        <f>I5*plans_per_prac*1</f>
        <v/>
      </c>
      <c r="J6" s="32">
        <f>J5*plans_per_prac*1</f>
        <v/>
      </c>
      <c r="K6" s="32">
        <f>K5*plans_per_prac*1</f>
        <v/>
      </c>
      <c r="L6" s="32">
        <f>L5*plans_per_prac*1</f>
        <v/>
      </c>
      <c r="M6" s="32">
        <f>M5*plans_per_prac*1</f>
        <v/>
      </c>
      <c r="N6" s="32">
        <f>N5*plans_per_prac*3</f>
        <v/>
      </c>
      <c r="O6" s="32">
        <f>O5*plans_per_prac*3</f>
        <v/>
      </c>
      <c r="P6" s="32">
        <f>P5*plans_per_prac*3</f>
        <v/>
      </c>
      <c r="Q6" s="32">
        <f>Q5*plans_per_prac*3</f>
        <v/>
      </c>
      <c r="R6" s="32">
        <f>R5*plans_per_prac*3</f>
        <v/>
      </c>
      <c r="S6" s="32">
        <f>S5*plans_per_prac*3</f>
        <v/>
      </c>
      <c r="T6" s="32">
        <f>T5*plans_per_prac*3</f>
        <v/>
      </c>
      <c r="U6" s="32">
        <f>U5*plans_per_prac*3</f>
        <v/>
      </c>
      <c r="V6" s="32">
        <f>V5*plans_per_prac*3</f>
        <v/>
      </c>
      <c r="W6" s="32">
        <f>W5*plans_per_prac*3</f>
        <v/>
      </c>
      <c r="X6" s="32">
        <f>X5*plans_per_prac*3</f>
        <v/>
      </c>
      <c r="Y6" s="32">
        <f>Y5*plans_per_prac*3</f>
        <v/>
      </c>
      <c r="Z6" s="32">
        <f>Z5*plans_per_prac*3</f>
        <v/>
      </c>
      <c r="AA6" s="32">
        <f>AA5*plans_per_prac*3</f>
        <v/>
      </c>
      <c r="AB6" s="32">
        <f>AB5*plans_per_prac*3</f>
        <v/>
      </c>
      <c r="AC6" s="32">
        <f>AC5*plans_per_prac*3</f>
        <v/>
      </c>
    </row>
    <row r="7">
      <c r="A7" s="4" t="inlineStr">
        <is>
          <t>Credits consumed in period</t>
        </is>
      </c>
      <c r="B7" s="32">
        <f>B6*credits_per_plan</f>
        <v/>
      </c>
      <c r="C7" s="32">
        <f>C6*credits_per_plan</f>
        <v/>
      </c>
      <c r="D7" s="32">
        <f>D6*credits_per_plan</f>
        <v/>
      </c>
      <c r="E7" s="32">
        <f>E6*credits_per_plan</f>
        <v/>
      </c>
      <c r="F7" s="32">
        <f>F6*credits_per_plan</f>
        <v/>
      </c>
      <c r="G7" s="32">
        <f>G6*credits_per_plan</f>
        <v/>
      </c>
      <c r="H7" s="32">
        <f>H6*credits_per_plan</f>
        <v/>
      </c>
      <c r="I7" s="32">
        <f>I6*credits_per_plan</f>
        <v/>
      </c>
      <c r="J7" s="32">
        <f>J6*credits_per_plan</f>
        <v/>
      </c>
      <c r="K7" s="32">
        <f>K6*credits_per_plan</f>
        <v/>
      </c>
      <c r="L7" s="32">
        <f>L6*credits_per_plan</f>
        <v/>
      </c>
      <c r="M7" s="32">
        <f>M6*credits_per_plan</f>
        <v/>
      </c>
      <c r="N7" s="32">
        <f>N6*credits_per_plan</f>
        <v/>
      </c>
      <c r="O7" s="32">
        <f>O6*credits_per_plan</f>
        <v/>
      </c>
      <c r="P7" s="32">
        <f>P6*credits_per_plan</f>
        <v/>
      </c>
      <c r="Q7" s="32">
        <f>Q6*credits_per_plan</f>
        <v/>
      </c>
      <c r="R7" s="32">
        <f>R6*credits_per_plan</f>
        <v/>
      </c>
      <c r="S7" s="32">
        <f>S6*credits_per_plan</f>
        <v/>
      </c>
      <c r="T7" s="32">
        <f>T6*credits_per_plan</f>
        <v/>
      </c>
      <c r="U7" s="32">
        <f>U6*credits_per_plan</f>
        <v/>
      </c>
      <c r="V7" s="32">
        <f>V6*credits_per_plan</f>
        <v/>
      </c>
      <c r="W7" s="32">
        <f>W6*credits_per_plan</f>
        <v/>
      </c>
      <c r="X7" s="32">
        <f>X6*credits_per_plan</f>
        <v/>
      </c>
      <c r="Y7" s="32">
        <f>Y6*credits_per_plan</f>
        <v/>
      </c>
      <c r="Z7" s="32">
        <f>Z6*credits_per_plan</f>
        <v/>
      </c>
      <c r="AA7" s="32">
        <f>AA6*credits_per_plan</f>
        <v/>
      </c>
      <c r="AB7" s="32">
        <f>AB6*credits_per_plan</f>
        <v/>
      </c>
      <c r="AC7" s="32">
        <f>AC6*credits_per_plan</f>
        <v/>
      </c>
    </row>
    <row r="8">
      <c r="A8" s="4" t="inlineStr">
        <is>
          <t>Credit purchases in period (≥ consumed)</t>
        </is>
      </c>
      <c r="B8" s="32">
        <f>B7/credit_consume</f>
        <v/>
      </c>
      <c r="C8" s="32">
        <f>C7/credit_consume</f>
        <v/>
      </c>
      <c r="D8" s="32">
        <f>D7/credit_consume</f>
        <v/>
      </c>
      <c r="E8" s="32">
        <f>E7/credit_consume</f>
        <v/>
      </c>
      <c r="F8" s="32">
        <f>F7/credit_consume</f>
        <v/>
      </c>
      <c r="G8" s="32">
        <f>G7/credit_consume</f>
        <v/>
      </c>
      <c r="H8" s="32">
        <f>H7/credit_consume</f>
        <v/>
      </c>
      <c r="I8" s="32">
        <f>I7/credit_consume</f>
        <v/>
      </c>
      <c r="J8" s="32">
        <f>J7/credit_consume</f>
        <v/>
      </c>
      <c r="K8" s="32">
        <f>K7/credit_consume</f>
        <v/>
      </c>
      <c r="L8" s="32">
        <f>L7/credit_consume</f>
        <v/>
      </c>
      <c r="M8" s="32">
        <f>M7/credit_consume</f>
        <v/>
      </c>
      <c r="N8" s="32">
        <f>N7/credit_consume</f>
        <v/>
      </c>
      <c r="O8" s="32">
        <f>O7/credit_consume</f>
        <v/>
      </c>
      <c r="P8" s="32">
        <f>P7/credit_consume</f>
        <v/>
      </c>
      <c r="Q8" s="32">
        <f>Q7/credit_consume</f>
        <v/>
      </c>
      <c r="R8" s="32">
        <f>R7/credit_consume</f>
        <v/>
      </c>
      <c r="S8" s="32">
        <f>S7/credit_consume</f>
        <v/>
      </c>
      <c r="T8" s="32">
        <f>T7/credit_consume</f>
        <v/>
      </c>
      <c r="U8" s="32">
        <f>U7/credit_consume</f>
        <v/>
      </c>
      <c r="V8" s="32">
        <f>V7/credit_consume</f>
        <v/>
      </c>
      <c r="W8" s="32">
        <f>W7/credit_consume</f>
        <v/>
      </c>
      <c r="X8" s="32">
        <f>X7/credit_consume</f>
        <v/>
      </c>
      <c r="Y8" s="32">
        <f>Y7/credit_consume</f>
        <v/>
      </c>
      <c r="Z8" s="32">
        <f>Z7/credit_consume</f>
        <v/>
      </c>
      <c r="AA8" s="32">
        <f>AA7/credit_consume</f>
        <v/>
      </c>
      <c r="AB8" s="32">
        <f>AB7/credit_consume</f>
        <v/>
      </c>
      <c r="AC8" s="32">
        <f>AC7/credit_consume</f>
        <v/>
      </c>
    </row>
    <row r="9">
      <c r="A9" s="4" t="inlineStr">
        <is>
          <t>Gross revenue (ZAR, VAT-incl.)</t>
        </is>
      </c>
      <c r="B9" s="35">
        <f>B8*rev_per_credit</f>
        <v/>
      </c>
      <c r="C9" s="35">
        <f>C8*rev_per_credit</f>
        <v/>
      </c>
      <c r="D9" s="35">
        <f>D8*rev_per_credit</f>
        <v/>
      </c>
      <c r="E9" s="35">
        <f>E8*rev_per_credit</f>
        <v/>
      </c>
      <c r="F9" s="35">
        <f>F8*rev_per_credit</f>
        <v/>
      </c>
      <c r="G9" s="35">
        <f>G8*rev_per_credit</f>
        <v/>
      </c>
      <c r="H9" s="35">
        <f>H8*rev_per_credit</f>
        <v/>
      </c>
      <c r="I9" s="35">
        <f>I8*rev_per_credit</f>
        <v/>
      </c>
      <c r="J9" s="35">
        <f>J8*rev_per_credit</f>
        <v/>
      </c>
      <c r="K9" s="35">
        <f>K8*rev_per_credit</f>
        <v/>
      </c>
      <c r="L9" s="35">
        <f>L8*rev_per_credit</f>
        <v/>
      </c>
      <c r="M9" s="35">
        <f>M8*rev_per_credit</f>
        <v/>
      </c>
      <c r="N9" s="35">
        <f>N8*rev_per_credit</f>
        <v/>
      </c>
      <c r="O9" s="35">
        <f>O8*rev_per_credit</f>
        <v/>
      </c>
      <c r="P9" s="35">
        <f>P8*rev_per_credit</f>
        <v/>
      </c>
      <c r="Q9" s="35">
        <f>Q8*rev_per_credit</f>
        <v/>
      </c>
      <c r="R9" s="35">
        <f>R8*rev_per_credit</f>
        <v/>
      </c>
      <c r="S9" s="35">
        <f>S8*rev_per_credit</f>
        <v/>
      </c>
      <c r="T9" s="35">
        <f>T8*rev_per_credit</f>
        <v/>
      </c>
      <c r="U9" s="35">
        <f>U8*rev_per_credit</f>
        <v/>
      </c>
      <c r="V9" s="35">
        <f>V8*rev_per_credit</f>
        <v/>
      </c>
      <c r="W9" s="35">
        <f>W8*rev_per_credit</f>
        <v/>
      </c>
      <c r="X9" s="35">
        <f>X8*rev_per_credit</f>
        <v/>
      </c>
      <c r="Y9" s="35">
        <f>Y8*rev_per_credit</f>
        <v/>
      </c>
      <c r="Z9" s="35">
        <f>Z8*rev_per_credit</f>
        <v/>
      </c>
      <c r="AA9" s="35">
        <f>AA8*rev_per_credit</f>
        <v/>
      </c>
      <c r="AB9" s="35">
        <f>AB8*rev_per_credit</f>
        <v/>
      </c>
      <c r="AC9" s="35">
        <f>AC8*rev_per_credit</f>
        <v/>
      </c>
    </row>
    <row r="10">
      <c r="A10" s="4" t="inlineStr">
        <is>
          <t>VAT collected (paid to SARS when registered)</t>
        </is>
      </c>
      <c r="B10" s="35">
        <f>IF(Growth!B21&gt;=vat_yr,B9*vat/(1+vat),0)</f>
        <v/>
      </c>
      <c r="C10" s="35">
        <f>IF(Growth!C21&gt;=vat_yr,C9*vat/(1+vat),0)</f>
        <v/>
      </c>
      <c r="D10" s="35">
        <f>IF(Growth!D21&gt;=vat_yr,D9*vat/(1+vat),0)</f>
        <v/>
      </c>
      <c r="E10" s="35">
        <f>IF(Growth!E21&gt;=vat_yr,E9*vat/(1+vat),0)</f>
        <v/>
      </c>
      <c r="F10" s="35">
        <f>IF(Growth!F21&gt;=vat_yr,F9*vat/(1+vat),0)</f>
        <v/>
      </c>
      <c r="G10" s="35">
        <f>IF(Growth!G21&gt;=vat_yr,G9*vat/(1+vat),0)</f>
        <v/>
      </c>
      <c r="H10" s="35">
        <f>IF(Growth!H21&gt;=vat_yr,H9*vat/(1+vat),0)</f>
        <v/>
      </c>
      <c r="I10" s="35">
        <f>IF(Growth!I21&gt;=vat_yr,I9*vat/(1+vat),0)</f>
        <v/>
      </c>
      <c r="J10" s="35">
        <f>IF(Growth!J21&gt;=vat_yr,J9*vat/(1+vat),0)</f>
        <v/>
      </c>
      <c r="K10" s="35">
        <f>IF(Growth!K21&gt;=vat_yr,K9*vat/(1+vat),0)</f>
        <v/>
      </c>
      <c r="L10" s="35">
        <f>IF(Growth!L21&gt;=vat_yr,L9*vat/(1+vat),0)</f>
        <v/>
      </c>
      <c r="M10" s="35">
        <f>IF(Growth!M21&gt;=vat_yr,M9*vat/(1+vat),0)</f>
        <v/>
      </c>
      <c r="N10" s="35">
        <f>IF(Growth!N21&gt;=vat_yr,N9*vat/(1+vat),0)</f>
        <v/>
      </c>
      <c r="O10" s="35">
        <f>IF(Growth!O21&gt;=vat_yr,O9*vat/(1+vat),0)</f>
        <v/>
      </c>
      <c r="P10" s="35">
        <f>IF(Growth!P21&gt;=vat_yr,P9*vat/(1+vat),0)</f>
        <v/>
      </c>
      <c r="Q10" s="35">
        <f>IF(Growth!Q21&gt;=vat_yr,Q9*vat/(1+vat),0)</f>
        <v/>
      </c>
      <c r="R10" s="35">
        <f>IF(Growth!R21&gt;=vat_yr,R9*vat/(1+vat),0)</f>
        <v/>
      </c>
      <c r="S10" s="35">
        <f>IF(Growth!S21&gt;=vat_yr,S9*vat/(1+vat),0)</f>
        <v/>
      </c>
      <c r="T10" s="35">
        <f>IF(Growth!T21&gt;=vat_yr,T9*vat/(1+vat),0)</f>
        <v/>
      </c>
      <c r="U10" s="35">
        <f>IF(Growth!U21&gt;=vat_yr,U9*vat/(1+vat),0)</f>
        <v/>
      </c>
      <c r="V10" s="35">
        <f>IF(Growth!V21&gt;=vat_yr,V9*vat/(1+vat),0)</f>
        <v/>
      </c>
      <c r="W10" s="35">
        <f>IF(Growth!W21&gt;=vat_yr,W9*vat/(1+vat),0)</f>
        <v/>
      </c>
      <c r="X10" s="35">
        <f>IF(Growth!X21&gt;=vat_yr,X9*vat/(1+vat),0)</f>
        <v/>
      </c>
      <c r="Y10" s="35">
        <f>IF(Growth!Y21&gt;=vat_yr,Y9*vat/(1+vat),0)</f>
        <v/>
      </c>
      <c r="Z10" s="35">
        <f>IF(Growth!Z21&gt;=vat_yr,Z9*vat/(1+vat),0)</f>
        <v/>
      </c>
      <c r="AA10" s="35">
        <f>IF(Growth!AA21&gt;=vat_yr,AA9*vat/(1+vat),0)</f>
        <v/>
      </c>
      <c r="AB10" s="35">
        <f>IF(Growth!AB21&gt;=vat_yr,AB9*vat/(1+vat),0)</f>
        <v/>
      </c>
      <c r="AC10" s="35">
        <f>IF(Growth!AC21&gt;=vat_yr,AC9*vat/(1+vat),0)</f>
        <v/>
      </c>
    </row>
    <row r="11">
      <c r="A11" s="4" t="inlineStr">
        <is>
          <t>Net revenue ex-VAT (ZAR)</t>
        </is>
      </c>
      <c r="B11" s="35">
        <f>B9-B10</f>
        <v/>
      </c>
      <c r="C11" s="35">
        <f>C9-C10</f>
        <v/>
      </c>
      <c r="D11" s="35">
        <f>D9-D10</f>
        <v/>
      </c>
      <c r="E11" s="35">
        <f>E9-E10</f>
        <v/>
      </c>
      <c r="F11" s="35">
        <f>F9-F10</f>
        <v/>
      </c>
      <c r="G11" s="35">
        <f>G9-G10</f>
        <v/>
      </c>
      <c r="H11" s="35">
        <f>H9-H10</f>
        <v/>
      </c>
      <c r="I11" s="35">
        <f>I9-I10</f>
        <v/>
      </c>
      <c r="J11" s="35">
        <f>J9-J10</f>
        <v/>
      </c>
      <c r="K11" s="35">
        <f>K9-K10</f>
        <v/>
      </c>
      <c r="L11" s="35">
        <f>L9-L10</f>
        <v/>
      </c>
      <c r="M11" s="35">
        <f>M9-M10</f>
        <v/>
      </c>
      <c r="N11" s="35">
        <f>N9-N10</f>
        <v/>
      </c>
      <c r="O11" s="35">
        <f>O9-O10</f>
        <v/>
      </c>
      <c r="P11" s="35">
        <f>P9-P10</f>
        <v/>
      </c>
      <c r="Q11" s="35">
        <f>Q9-Q10</f>
        <v/>
      </c>
      <c r="R11" s="35">
        <f>R9-R10</f>
        <v/>
      </c>
      <c r="S11" s="35">
        <f>S9-S10</f>
        <v/>
      </c>
      <c r="T11" s="35">
        <f>T9-T10</f>
        <v/>
      </c>
      <c r="U11" s="35">
        <f>U9-U10</f>
        <v/>
      </c>
      <c r="V11" s="35">
        <f>V9-V10</f>
        <v/>
      </c>
      <c r="W11" s="35">
        <f>W9-W10</f>
        <v/>
      </c>
      <c r="X11" s="35">
        <f>X9-X10</f>
        <v/>
      </c>
      <c r="Y11" s="35">
        <f>Y9-Y10</f>
        <v/>
      </c>
      <c r="Z11" s="35">
        <f>Z9-Z10</f>
        <v/>
      </c>
      <c r="AA11" s="35">
        <f>AA9-AA10</f>
        <v/>
      </c>
      <c r="AB11" s="35">
        <f>AB9-AB10</f>
        <v/>
      </c>
      <c r="AC11" s="35">
        <f>AC9-AC10</f>
        <v/>
      </c>
    </row>
    <row r="12">
      <c r="A12" s="4" t="inlineStr">
        <is>
          <t>Transaction count (est.)</t>
        </is>
      </c>
      <c r="B12" s="32">
        <f>B9/avg_txn</f>
        <v/>
      </c>
      <c r="C12" s="32">
        <f>C9/avg_txn</f>
        <v/>
      </c>
      <c r="D12" s="32">
        <f>D9/avg_txn</f>
        <v/>
      </c>
      <c r="E12" s="32">
        <f>E9/avg_txn</f>
        <v/>
      </c>
      <c r="F12" s="32">
        <f>F9/avg_txn</f>
        <v/>
      </c>
      <c r="G12" s="32">
        <f>G9/avg_txn</f>
        <v/>
      </c>
      <c r="H12" s="32">
        <f>H9/avg_txn</f>
        <v/>
      </c>
      <c r="I12" s="32">
        <f>I9/avg_txn</f>
        <v/>
      </c>
      <c r="J12" s="32">
        <f>J9/avg_txn</f>
        <v/>
      </c>
      <c r="K12" s="32">
        <f>K9/avg_txn</f>
        <v/>
      </c>
      <c r="L12" s="32">
        <f>L9/avg_txn</f>
        <v/>
      </c>
      <c r="M12" s="32">
        <f>M9/avg_txn</f>
        <v/>
      </c>
      <c r="N12" s="32">
        <f>N9/avg_txn</f>
        <v/>
      </c>
      <c r="O12" s="32">
        <f>O9/avg_txn</f>
        <v/>
      </c>
      <c r="P12" s="32">
        <f>P9/avg_txn</f>
        <v/>
      </c>
      <c r="Q12" s="32">
        <f>Q9/avg_txn</f>
        <v/>
      </c>
      <c r="R12" s="32">
        <f>R9/avg_txn</f>
        <v/>
      </c>
      <c r="S12" s="32">
        <f>S9/avg_txn</f>
        <v/>
      </c>
      <c r="T12" s="32">
        <f>T9/avg_txn</f>
        <v/>
      </c>
      <c r="U12" s="32">
        <f>U9/avg_txn</f>
        <v/>
      </c>
      <c r="V12" s="32">
        <f>V9/avg_txn</f>
        <v/>
      </c>
      <c r="W12" s="32">
        <f>W9/avg_txn</f>
        <v/>
      </c>
      <c r="X12" s="32">
        <f>X9/avg_txn</f>
        <v/>
      </c>
      <c r="Y12" s="32">
        <f>Y9/avg_txn</f>
        <v/>
      </c>
      <c r="Z12" s="32">
        <f>Z9/avg_txn</f>
        <v/>
      </c>
      <c r="AA12" s="32">
        <f>AA9/avg_txn</f>
        <v/>
      </c>
      <c r="AB12" s="32">
        <f>AB9/avg_txn</f>
        <v/>
      </c>
      <c r="AC12" s="32">
        <f>AC9/avg_txn</f>
        <v/>
      </c>
    </row>
    <row r="13">
      <c r="A13" s="4" t="inlineStr">
        <is>
          <t>PayFast processing fee (ZAR)</t>
        </is>
      </c>
      <c r="B13" s="35">
        <f>B9*IF(Growth!B21&lt;=2,pf_pct_early,pf_pct_late)+B12*pf_fixed</f>
        <v/>
      </c>
      <c r="C13" s="35">
        <f>C9*IF(Growth!C21&lt;=2,pf_pct_early,pf_pct_late)+C12*pf_fixed</f>
        <v/>
      </c>
      <c r="D13" s="35">
        <f>D9*IF(Growth!D21&lt;=2,pf_pct_early,pf_pct_late)+D12*pf_fixed</f>
        <v/>
      </c>
      <c r="E13" s="35">
        <f>E9*IF(Growth!E21&lt;=2,pf_pct_early,pf_pct_late)+E12*pf_fixed</f>
        <v/>
      </c>
      <c r="F13" s="35">
        <f>F9*IF(Growth!F21&lt;=2,pf_pct_early,pf_pct_late)+F12*pf_fixed</f>
        <v/>
      </c>
      <c r="G13" s="35">
        <f>G9*IF(Growth!G21&lt;=2,pf_pct_early,pf_pct_late)+G12*pf_fixed</f>
        <v/>
      </c>
      <c r="H13" s="35">
        <f>H9*IF(Growth!H21&lt;=2,pf_pct_early,pf_pct_late)+H12*pf_fixed</f>
        <v/>
      </c>
      <c r="I13" s="35">
        <f>I9*IF(Growth!I21&lt;=2,pf_pct_early,pf_pct_late)+I12*pf_fixed</f>
        <v/>
      </c>
      <c r="J13" s="35">
        <f>J9*IF(Growth!J21&lt;=2,pf_pct_early,pf_pct_late)+J12*pf_fixed</f>
        <v/>
      </c>
      <c r="K13" s="35">
        <f>K9*IF(Growth!K21&lt;=2,pf_pct_early,pf_pct_late)+K12*pf_fixed</f>
        <v/>
      </c>
      <c r="L13" s="35">
        <f>L9*IF(Growth!L21&lt;=2,pf_pct_early,pf_pct_late)+L12*pf_fixed</f>
        <v/>
      </c>
      <c r="M13" s="35">
        <f>M9*IF(Growth!M21&lt;=2,pf_pct_early,pf_pct_late)+M12*pf_fixed</f>
        <v/>
      </c>
      <c r="N13" s="35">
        <f>N9*IF(Growth!N21&lt;=2,pf_pct_early,pf_pct_late)+N12*pf_fixed</f>
        <v/>
      </c>
      <c r="O13" s="35">
        <f>O9*IF(Growth!O21&lt;=2,pf_pct_early,pf_pct_late)+O12*pf_fixed</f>
        <v/>
      </c>
      <c r="P13" s="35">
        <f>P9*IF(Growth!P21&lt;=2,pf_pct_early,pf_pct_late)+P12*pf_fixed</f>
        <v/>
      </c>
      <c r="Q13" s="35">
        <f>Q9*IF(Growth!Q21&lt;=2,pf_pct_early,pf_pct_late)+Q12*pf_fixed</f>
        <v/>
      </c>
      <c r="R13" s="35">
        <f>R9*IF(Growth!R21&lt;=2,pf_pct_early,pf_pct_late)+R12*pf_fixed</f>
        <v/>
      </c>
      <c r="S13" s="35">
        <f>S9*IF(Growth!S21&lt;=2,pf_pct_early,pf_pct_late)+S12*pf_fixed</f>
        <v/>
      </c>
      <c r="T13" s="35">
        <f>T9*IF(Growth!T21&lt;=2,pf_pct_early,pf_pct_late)+T12*pf_fixed</f>
        <v/>
      </c>
      <c r="U13" s="35">
        <f>U9*IF(Growth!U21&lt;=2,pf_pct_early,pf_pct_late)+U12*pf_fixed</f>
        <v/>
      </c>
      <c r="V13" s="35">
        <f>V9*IF(Growth!V21&lt;=2,pf_pct_early,pf_pct_late)+V12*pf_fixed</f>
        <v/>
      </c>
      <c r="W13" s="35">
        <f>W9*IF(Growth!W21&lt;=2,pf_pct_early,pf_pct_late)+W12*pf_fixed</f>
        <v/>
      </c>
      <c r="X13" s="35">
        <f>X9*IF(Growth!X21&lt;=2,pf_pct_early,pf_pct_late)+X12*pf_fixed</f>
        <v/>
      </c>
      <c r="Y13" s="35">
        <f>Y9*IF(Growth!Y21&lt;=2,pf_pct_early,pf_pct_late)+Y12*pf_fixed</f>
        <v/>
      </c>
      <c r="Z13" s="35">
        <f>Z9*IF(Growth!Z21&lt;=2,pf_pct_early,pf_pct_late)+Z12*pf_fixed</f>
        <v/>
      </c>
      <c r="AA13" s="35">
        <f>AA9*IF(Growth!AA21&lt;=2,pf_pct_early,pf_pct_late)+AA12*pf_fixed</f>
        <v/>
      </c>
      <c r="AB13" s="35">
        <f>AB9*IF(Growth!AB21&lt;=2,pf_pct_early,pf_pct_late)+AB12*pf_fixed</f>
        <v/>
      </c>
      <c r="AC13" s="35">
        <f>AC9*IF(Growth!AC21&lt;=2,pf_pct_early,pf_pct_late)+AC12*pf_fixed</f>
        <v/>
      </c>
    </row>
    <row r="14">
      <c r="A14" s="4" t="inlineStr">
        <is>
          <t>Net revenue after PayFast + VAT (ZAR)</t>
        </is>
      </c>
      <c r="B14" s="35">
        <f>B11-B13</f>
        <v/>
      </c>
      <c r="C14" s="35">
        <f>C11-C13</f>
        <v/>
      </c>
      <c r="D14" s="35">
        <f>D11-D13</f>
        <v/>
      </c>
      <c r="E14" s="35">
        <f>E11-E13</f>
        <v/>
      </c>
      <c r="F14" s="35">
        <f>F11-F13</f>
        <v/>
      </c>
      <c r="G14" s="35">
        <f>G11-G13</f>
        <v/>
      </c>
      <c r="H14" s="35">
        <f>H11-H13</f>
        <v/>
      </c>
      <c r="I14" s="35">
        <f>I11-I13</f>
        <v/>
      </c>
      <c r="J14" s="35">
        <f>J11-J13</f>
        <v/>
      </c>
      <c r="K14" s="35">
        <f>K11-K13</f>
        <v/>
      </c>
      <c r="L14" s="35">
        <f>L11-L13</f>
        <v/>
      </c>
      <c r="M14" s="35">
        <f>M11-M13</f>
        <v/>
      </c>
      <c r="N14" s="35">
        <f>N11-N13</f>
        <v/>
      </c>
      <c r="O14" s="35">
        <f>O11-O13</f>
        <v/>
      </c>
      <c r="P14" s="35">
        <f>P11-P13</f>
        <v/>
      </c>
      <c r="Q14" s="35">
        <f>Q11-Q13</f>
        <v/>
      </c>
      <c r="R14" s="35">
        <f>R11-R13</f>
        <v/>
      </c>
      <c r="S14" s="35">
        <f>S11-S13</f>
        <v/>
      </c>
      <c r="T14" s="35">
        <f>T11-T13</f>
        <v/>
      </c>
      <c r="U14" s="35">
        <f>U11-U13</f>
        <v/>
      </c>
      <c r="V14" s="35">
        <f>V11-V13</f>
        <v/>
      </c>
      <c r="W14" s="35">
        <f>W11-W13</f>
        <v/>
      </c>
      <c r="X14" s="35">
        <f>X11-X13</f>
        <v/>
      </c>
      <c r="Y14" s="35">
        <f>Y11-Y13</f>
        <v/>
      </c>
      <c r="Z14" s="35">
        <f>Z11-Z13</f>
        <v/>
      </c>
      <c r="AA14" s="35">
        <f>AA11-AA13</f>
        <v/>
      </c>
      <c r="AB14" s="35">
        <f>AB11-AB13</f>
        <v/>
      </c>
      <c r="AC14" s="35">
        <f>AC11-AC13</f>
        <v/>
      </c>
    </row>
    <row r="15">
      <c r="A15" s="4" t="inlineStr">
        <is>
          <t>Gross USD (info)</t>
        </is>
      </c>
      <c r="B15" s="36">
        <f>B9/fx</f>
        <v/>
      </c>
      <c r="C15" s="36">
        <f>C9/fx</f>
        <v/>
      </c>
      <c r="D15" s="36">
        <f>D9/fx</f>
        <v/>
      </c>
      <c r="E15" s="36">
        <f>E9/fx</f>
        <v/>
      </c>
      <c r="F15" s="36">
        <f>F9/fx</f>
        <v/>
      </c>
      <c r="G15" s="36">
        <f>G9/fx</f>
        <v/>
      </c>
      <c r="H15" s="36">
        <f>H9/fx</f>
        <v/>
      </c>
      <c r="I15" s="36">
        <f>I9/fx</f>
        <v/>
      </c>
      <c r="J15" s="36">
        <f>J9/fx</f>
        <v/>
      </c>
      <c r="K15" s="36">
        <f>K9/fx</f>
        <v/>
      </c>
      <c r="L15" s="36">
        <f>L9/fx</f>
        <v/>
      </c>
      <c r="M15" s="36">
        <f>M9/fx</f>
        <v/>
      </c>
      <c r="N15" s="36">
        <f>N9/fx</f>
        <v/>
      </c>
      <c r="O15" s="36">
        <f>O9/fx</f>
        <v/>
      </c>
      <c r="P15" s="36">
        <f>P9/fx</f>
        <v/>
      </c>
      <c r="Q15" s="36">
        <f>Q9/fx</f>
        <v/>
      </c>
      <c r="R15" s="36">
        <f>R9/fx</f>
        <v/>
      </c>
      <c r="S15" s="36">
        <f>S9/fx</f>
        <v/>
      </c>
      <c r="T15" s="36">
        <f>T9/fx</f>
        <v/>
      </c>
      <c r="U15" s="36">
        <f>U9/fx</f>
        <v/>
      </c>
      <c r="V15" s="36">
        <f>V9/fx</f>
        <v/>
      </c>
      <c r="W15" s="36">
        <f>W9/fx</f>
        <v/>
      </c>
      <c r="X15" s="36">
        <f>X9/fx</f>
        <v/>
      </c>
      <c r="Y15" s="36">
        <f>Y9/fx</f>
        <v/>
      </c>
      <c r="Z15" s="36">
        <f>Z9/fx</f>
        <v/>
      </c>
      <c r="AA15" s="36">
        <f>AA9/fx</f>
        <v/>
      </c>
      <c r="AB15" s="36">
        <f>AB9/fx</f>
        <v/>
      </c>
      <c r="AC15" s="36">
        <f>AC9/fx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30" t="inlineStr">
        <is>
          <t>Costs — infra, marketing, OpEx</t>
        </is>
      </c>
    </row>
    <row r="4">
      <c r="A4" s="31" t="inlineStr">
        <is>
          <t>Metric</t>
        </is>
      </c>
      <c r="B4" s="10" t="inlineStr">
        <is>
          <t>Y1 M1</t>
        </is>
      </c>
      <c r="C4" s="10" t="inlineStr">
        <is>
          <t>Y1 M2</t>
        </is>
      </c>
      <c r="D4" s="10" t="inlineStr">
        <is>
          <t>Y1 M3</t>
        </is>
      </c>
      <c r="E4" s="10" t="inlineStr">
        <is>
          <t>Y1 M4</t>
        </is>
      </c>
      <c r="F4" s="10" t="inlineStr">
        <is>
          <t>Y1 M5</t>
        </is>
      </c>
      <c r="G4" s="10" t="inlineStr">
        <is>
          <t>Y1 M6</t>
        </is>
      </c>
      <c r="H4" s="10" t="inlineStr">
        <is>
          <t>Y1 M7</t>
        </is>
      </c>
      <c r="I4" s="10" t="inlineStr">
        <is>
          <t>Y1 M8</t>
        </is>
      </c>
      <c r="J4" s="10" t="inlineStr">
        <is>
          <t>Y1 M9</t>
        </is>
      </c>
      <c r="K4" s="10" t="inlineStr">
        <is>
          <t>Y1 M10</t>
        </is>
      </c>
      <c r="L4" s="10" t="inlineStr">
        <is>
          <t>Y1 M11</t>
        </is>
      </c>
      <c r="M4" s="10" t="inlineStr">
        <is>
          <t>Y1 M12</t>
        </is>
      </c>
      <c r="N4" s="10" t="inlineStr">
        <is>
          <t>Y2 Q1</t>
        </is>
      </c>
      <c r="O4" s="10" t="inlineStr">
        <is>
          <t>Y2 Q2</t>
        </is>
      </c>
      <c r="P4" s="10" t="inlineStr">
        <is>
          <t>Y2 Q3</t>
        </is>
      </c>
      <c r="Q4" s="10" t="inlineStr">
        <is>
          <t>Y2 Q4</t>
        </is>
      </c>
      <c r="R4" s="10" t="inlineStr">
        <is>
          <t>Y3 Q1</t>
        </is>
      </c>
      <c r="S4" s="10" t="inlineStr">
        <is>
          <t>Y3 Q2</t>
        </is>
      </c>
      <c r="T4" s="10" t="inlineStr">
        <is>
          <t>Y3 Q3</t>
        </is>
      </c>
      <c r="U4" s="10" t="inlineStr">
        <is>
          <t>Y3 Q4</t>
        </is>
      </c>
      <c r="V4" s="10" t="inlineStr">
        <is>
          <t>Y4 Q1</t>
        </is>
      </c>
      <c r="W4" s="10" t="inlineStr">
        <is>
          <t>Y4 Q2</t>
        </is>
      </c>
      <c r="X4" s="10" t="inlineStr">
        <is>
          <t>Y4 Q3</t>
        </is>
      </c>
      <c r="Y4" s="10" t="inlineStr">
        <is>
          <t>Y4 Q4</t>
        </is>
      </c>
      <c r="Z4" s="10" t="inlineStr">
        <is>
          <t>Y5 Q1</t>
        </is>
      </c>
      <c r="AA4" s="10" t="inlineStr">
        <is>
          <t>Y5 Q2</t>
        </is>
      </c>
      <c r="AB4" s="10" t="inlineStr">
        <is>
          <t>Y5 Q3</t>
        </is>
      </c>
      <c r="AC4" s="10" t="inlineStr">
        <is>
          <t>Y5 Q4</t>
        </is>
      </c>
    </row>
    <row r="5">
      <c r="A5" s="4" t="inlineStr">
        <is>
          <t>Active paying practitioners (ref)</t>
        </is>
      </c>
      <c r="B5" s="32">
        <f>Growth!B17</f>
        <v/>
      </c>
      <c r="C5" s="32">
        <f>Growth!C17</f>
        <v/>
      </c>
      <c r="D5" s="32">
        <f>Growth!D17</f>
        <v/>
      </c>
      <c r="E5" s="32">
        <f>Growth!E17</f>
        <v/>
      </c>
      <c r="F5" s="32">
        <f>Growth!F17</f>
        <v/>
      </c>
      <c r="G5" s="32">
        <f>Growth!G17</f>
        <v/>
      </c>
      <c r="H5" s="32">
        <f>Growth!H17</f>
        <v/>
      </c>
      <c r="I5" s="32">
        <f>Growth!I17</f>
        <v/>
      </c>
      <c r="J5" s="32">
        <f>Growth!J17</f>
        <v/>
      </c>
      <c r="K5" s="32">
        <f>Growth!K17</f>
        <v/>
      </c>
      <c r="L5" s="32">
        <f>Growth!L17</f>
        <v/>
      </c>
      <c r="M5" s="32">
        <f>Growth!M17</f>
        <v/>
      </c>
      <c r="N5" s="32">
        <f>Growth!N17</f>
        <v/>
      </c>
      <c r="O5" s="32">
        <f>Growth!O17</f>
        <v/>
      </c>
      <c r="P5" s="32">
        <f>Growth!P17</f>
        <v/>
      </c>
      <c r="Q5" s="32">
        <f>Growth!Q17</f>
        <v/>
      </c>
      <c r="R5" s="32">
        <f>Growth!R17</f>
        <v/>
      </c>
      <c r="S5" s="32">
        <f>Growth!S17</f>
        <v/>
      </c>
      <c r="T5" s="32">
        <f>Growth!T17</f>
        <v/>
      </c>
      <c r="U5" s="32">
        <f>Growth!U17</f>
        <v/>
      </c>
      <c r="V5" s="32">
        <f>Growth!V17</f>
        <v/>
      </c>
      <c r="W5" s="32">
        <f>Growth!W17</f>
        <v/>
      </c>
      <c r="X5" s="32">
        <f>Growth!X17</f>
        <v/>
      </c>
      <c r="Y5" s="32">
        <f>Growth!Y17</f>
        <v/>
      </c>
      <c r="Z5" s="32">
        <f>Growth!Z17</f>
        <v/>
      </c>
      <c r="AA5" s="32">
        <f>Growth!AA17</f>
        <v/>
      </c>
      <c r="AB5" s="32">
        <f>Growth!AB17</f>
        <v/>
      </c>
      <c r="AC5" s="32">
        <f>Growth!AC17</f>
        <v/>
      </c>
    </row>
    <row r="6">
      <c r="A6" s="4" t="inlineStr">
        <is>
          <t>Infra: Supabase Pro base (ZAR)</t>
        </is>
      </c>
      <c r="B6" s="35">
        <f>supabase_base*fx*1</f>
        <v/>
      </c>
      <c r="C6" s="35">
        <f>supabase_base*fx*1</f>
        <v/>
      </c>
      <c r="D6" s="35">
        <f>supabase_base*fx*1</f>
        <v/>
      </c>
      <c r="E6" s="35">
        <f>supabase_base*fx*1</f>
        <v/>
      </c>
      <c r="F6" s="35">
        <f>supabase_base*fx*1</f>
        <v/>
      </c>
      <c r="G6" s="35">
        <f>supabase_base*fx*1</f>
        <v/>
      </c>
      <c r="H6" s="35">
        <f>supabase_base*fx*1</f>
        <v/>
      </c>
      <c r="I6" s="35">
        <f>supabase_base*fx*1</f>
        <v/>
      </c>
      <c r="J6" s="35">
        <f>supabase_base*fx*1</f>
        <v/>
      </c>
      <c r="K6" s="35">
        <f>supabase_base*fx*1</f>
        <v/>
      </c>
      <c r="L6" s="35">
        <f>supabase_base*fx*1</f>
        <v/>
      </c>
      <c r="M6" s="35">
        <f>supabase_base*fx*1</f>
        <v/>
      </c>
      <c r="N6" s="35">
        <f>supabase_base*fx*3</f>
        <v/>
      </c>
      <c r="O6" s="35">
        <f>supabase_base*fx*3</f>
        <v/>
      </c>
      <c r="P6" s="35">
        <f>supabase_base*fx*3</f>
        <v/>
      </c>
      <c r="Q6" s="35">
        <f>supabase_base*fx*3</f>
        <v/>
      </c>
      <c r="R6" s="35">
        <f>supabase_base*fx*3</f>
        <v/>
      </c>
      <c r="S6" s="35">
        <f>supabase_base*fx*3</f>
        <v/>
      </c>
      <c r="T6" s="35">
        <f>supabase_base*fx*3</f>
        <v/>
      </c>
      <c r="U6" s="35">
        <f>supabase_base*fx*3</f>
        <v/>
      </c>
      <c r="V6" s="35">
        <f>supabase_base*fx*3</f>
        <v/>
      </c>
      <c r="W6" s="35">
        <f>supabase_base*fx*3</f>
        <v/>
      </c>
      <c r="X6" s="35">
        <f>supabase_base*fx*3</f>
        <v/>
      </c>
      <c r="Y6" s="35">
        <f>supabase_base*fx*3</f>
        <v/>
      </c>
      <c r="Z6" s="35">
        <f>supabase_base*fx*3</f>
        <v/>
      </c>
      <c r="AA6" s="35">
        <f>supabase_base*fx*3</f>
        <v/>
      </c>
      <c r="AB6" s="35">
        <f>supabase_base*fx*3</f>
        <v/>
      </c>
      <c r="AC6" s="35">
        <f>supabase_base*fx*3</f>
        <v/>
      </c>
    </row>
    <row r="7">
      <c r="A7" s="4" t="inlineStr">
        <is>
          <t>Infra: Supabase bandwidth (ZAR)</t>
        </is>
      </c>
      <c r="B7" s="35">
        <f>B5*egress_mb/1024*supabase_bw*fx*1</f>
        <v/>
      </c>
      <c r="C7" s="35">
        <f>C5*egress_mb/1024*supabase_bw*fx*1</f>
        <v/>
      </c>
      <c r="D7" s="35">
        <f>D5*egress_mb/1024*supabase_bw*fx*1</f>
        <v/>
      </c>
      <c r="E7" s="35">
        <f>E5*egress_mb/1024*supabase_bw*fx*1</f>
        <v/>
      </c>
      <c r="F7" s="35">
        <f>F5*egress_mb/1024*supabase_bw*fx*1</f>
        <v/>
      </c>
      <c r="G7" s="35">
        <f>G5*egress_mb/1024*supabase_bw*fx*1</f>
        <v/>
      </c>
      <c r="H7" s="35">
        <f>H5*egress_mb/1024*supabase_bw*fx*1</f>
        <v/>
      </c>
      <c r="I7" s="35">
        <f>I5*egress_mb/1024*supabase_bw*fx*1</f>
        <v/>
      </c>
      <c r="J7" s="35">
        <f>J5*egress_mb/1024*supabase_bw*fx*1</f>
        <v/>
      </c>
      <c r="K7" s="35">
        <f>K5*egress_mb/1024*supabase_bw*fx*1</f>
        <v/>
      </c>
      <c r="L7" s="35">
        <f>L5*egress_mb/1024*supabase_bw*fx*1</f>
        <v/>
      </c>
      <c r="M7" s="35">
        <f>M5*egress_mb/1024*supabase_bw*fx*1</f>
        <v/>
      </c>
      <c r="N7" s="35">
        <f>N5*egress_mb/1024*supabase_bw*fx*3</f>
        <v/>
      </c>
      <c r="O7" s="35">
        <f>O5*egress_mb/1024*supabase_bw*fx*3</f>
        <v/>
      </c>
      <c r="P7" s="35">
        <f>P5*egress_mb/1024*supabase_bw*fx*3</f>
        <v/>
      </c>
      <c r="Q7" s="35">
        <f>Q5*egress_mb/1024*supabase_bw*fx*3</f>
        <v/>
      </c>
      <c r="R7" s="35">
        <f>R5*egress_mb/1024*supabase_bw*fx*3</f>
        <v/>
      </c>
      <c r="S7" s="35">
        <f>S5*egress_mb/1024*supabase_bw*fx*3</f>
        <v/>
      </c>
      <c r="T7" s="35">
        <f>T5*egress_mb/1024*supabase_bw*fx*3</f>
        <v/>
      </c>
      <c r="U7" s="35">
        <f>U5*egress_mb/1024*supabase_bw*fx*3</f>
        <v/>
      </c>
      <c r="V7" s="35">
        <f>V5*egress_mb/1024*supabase_bw*fx*3</f>
        <v/>
      </c>
      <c r="W7" s="35">
        <f>W5*egress_mb/1024*supabase_bw*fx*3</f>
        <v/>
      </c>
      <c r="X7" s="35">
        <f>X5*egress_mb/1024*supabase_bw*fx*3</f>
        <v/>
      </c>
      <c r="Y7" s="35">
        <f>Y5*egress_mb/1024*supabase_bw*fx*3</f>
        <v/>
      </c>
      <c r="Z7" s="35">
        <f>Z5*egress_mb/1024*supabase_bw*fx*3</f>
        <v/>
      </c>
      <c r="AA7" s="35">
        <f>AA5*egress_mb/1024*supabase_bw*fx*3</f>
        <v/>
      </c>
      <c r="AB7" s="35">
        <f>AB5*egress_mb/1024*supabase_bw*fx*3</f>
        <v/>
      </c>
      <c r="AC7" s="35">
        <f>AC5*egress_mb/1024*supabase_bw*fx*3</f>
        <v/>
      </c>
    </row>
    <row r="8">
      <c r="A8" s="4" t="inlineStr">
        <is>
          <t>Infra: Vercel Pro (ZAR)</t>
        </is>
      </c>
      <c r="B8" s="35">
        <f>vercel_base*fx*1</f>
        <v/>
      </c>
      <c r="C8" s="35">
        <f>vercel_base*fx*1</f>
        <v/>
      </c>
      <c r="D8" s="35">
        <f>vercel_base*fx*1</f>
        <v/>
      </c>
      <c r="E8" s="35">
        <f>vercel_base*fx*1</f>
        <v/>
      </c>
      <c r="F8" s="35">
        <f>vercel_base*fx*1</f>
        <v/>
      </c>
      <c r="G8" s="35">
        <f>vercel_base*fx*1</f>
        <v/>
      </c>
      <c r="H8" s="35">
        <f>vercel_base*fx*1</f>
        <v/>
      </c>
      <c r="I8" s="35">
        <f>vercel_base*fx*1</f>
        <v/>
      </c>
      <c r="J8" s="35">
        <f>vercel_base*fx*1</f>
        <v/>
      </c>
      <c r="K8" s="35">
        <f>vercel_base*fx*1</f>
        <v/>
      </c>
      <c r="L8" s="35">
        <f>vercel_base*fx*1</f>
        <v/>
      </c>
      <c r="M8" s="35">
        <f>vercel_base*fx*1</f>
        <v/>
      </c>
      <c r="N8" s="35">
        <f>vercel_base*fx*3</f>
        <v/>
      </c>
      <c r="O8" s="35">
        <f>vercel_base*fx*3</f>
        <v/>
      </c>
      <c r="P8" s="35">
        <f>vercel_base*fx*3</f>
        <v/>
      </c>
      <c r="Q8" s="35">
        <f>vercel_base*fx*3</f>
        <v/>
      </c>
      <c r="R8" s="35">
        <f>vercel_base*fx*3</f>
        <v/>
      </c>
      <c r="S8" s="35">
        <f>vercel_base*fx*3</f>
        <v/>
      </c>
      <c r="T8" s="35">
        <f>vercel_base*fx*3</f>
        <v/>
      </c>
      <c r="U8" s="35">
        <f>vercel_base*fx*3</f>
        <v/>
      </c>
      <c r="V8" s="35">
        <f>vercel_base*fx*3</f>
        <v/>
      </c>
      <c r="W8" s="35">
        <f>vercel_base*fx*3</f>
        <v/>
      </c>
      <c r="X8" s="35">
        <f>vercel_base*fx*3</f>
        <v/>
      </c>
      <c r="Y8" s="35">
        <f>vercel_base*fx*3</f>
        <v/>
      </c>
      <c r="Z8" s="35">
        <f>vercel_base*fx*3</f>
        <v/>
      </c>
      <c r="AA8" s="35">
        <f>vercel_base*fx*3</f>
        <v/>
      </c>
      <c r="AB8" s="35">
        <f>vercel_base*fx*3</f>
        <v/>
      </c>
      <c r="AC8" s="35">
        <f>vercel_base*fx*3</f>
        <v/>
      </c>
    </row>
    <row r="9">
      <c r="A9" s="4" t="inlineStr">
        <is>
          <t>Infra: Domain + Apple Dev amortised (ZAR)</t>
        </is>
      </c>
      <c r="B9" s="35">
        <f>(domain_yr+apple_dev_yr*fx)/12*1</f>
        <v/>
      </c>
      <c r="C9" s="35">
        <f>(domain_yr+apple_dev_yr*fx)/12*1</f>
        <v/>
      </c>
      <c r="D9" s="35">
        <f>(domain_yr+apple_dev_yr*fx)/12*1</f>
        <v/>
      </c>
      <c r="E9" s="35">
        <f>(domain_yr+apple_dev_yr*fx)/12*1</f>
        <v/>
      </c>
      <c r="F9" s="35">
        <f>(domain_yr+apple_dev_yr*fx)/12*1</f>
        <v/>
      </c>
      <c r="G9" s="35">
        <f>(domain_yr+apple_dev_yr*fx)/12*1</f>
        <v/>
      </c>
      <c r="H9" s="35">
        <f>(domain_yr+apple_dev_yr*fx)/12*1</f>
        <v/>
      </c>
      <c r="I9" s="35">
        <f>(domain_yr+apple_dev_yr*fx)/12*1</f>
        <v/>
      </c>
      <c r="J9" s="35">
        <f>(domain_yr+apple_dev_yr*fx)/12*1</f>
        <v/>
      </c>
      <c r="K9" s="35">
        <f>(domain_yr+apple_dev_yr*fx)/12*1</f>
        <v/>
      </c>
      <c r="L9" s="35">
        <f>(domain_yr+apple_dev_yr*fx)/12*1</f>
        <v/>
      </c>
      <c r="M9" s="35">
        <f>(domain_yr+apple_dev_yr*fx)/12*1</f>
        <v/>
      </c>
      <c r="N9" s="35">
        <f>(domain_yr+apple_dev_yr*fx)/12*3</f>
        <v/>
      </c>
      <c r="O9" s="35">
        <f>(domain_yr+apple_dev_yr*fx)/12*3</f>
        <v/>
      </c>
      <c r="P9" s="35">
        <f>(domain_yr+apple_dev_yr*fx)/12*3</f>
        <v/>
      </c>
      <c r="Q9" s="35">
        <f>(domain_yr+apple_dev_yr*fx)/12*3</f>
        <v/>
      </c>
      <c r="R9" s="35">
        <f>(domain_yr+apple_dev_yr*fx)/12*3</f>
        <v/>
      </c>
      <c r="S9" s="35">
        <f>(domain_yr+apple_dev_yr*fx)/12*3</f>
        <v/>
      </c>
      <c r="T9" s="35">
        <f>(domain_yr+apple_dev_yr*fx)/12*3</f>
        <v/>
      </c>
      <c r="U9" s="35">
        <f>(domain_yr+apple_dev_yr*fx)/12*3</f>
        <v/>
      </c>
      <c r="V9" s="35">
        <f>(domain_yr+apple_dev_yr*fx)/12*3</f>
        <v/>
      </c>
      <c r="W9" s="35">
        <f>(domain_yr+apple_dev_yr*fx)/12*3</f>
        <v/>
      </c>
      <c r="X9" s="35">
        <f>(domain_yr+apple_dev_yr*fx)/12*3</f>
        <v/>
      </c>
      <c r="Y9" s="35">
        <f>(domain_yr+apple_dev_yr*fx)/12*3</f>
        <v/>
      </c>
      <c r="Z9" s="35">
        <f>(domain_yr+apple_dev_yr*fx)/12*3</f>
        <v/>
      </c>
      <c r="AA9" s="35">
        <f>(domain_yr+apple_dev_yr*fx)/12*3</f>
        <v/>
      </c>
      <c r="AB9" s="35">
        <f>(domain_yr+apple_dev_yr*fx)/12*3</f>
        <v/>
      </c>
      <c r="AC9" s="35">
        <f>(domain_yr+apple_dev_yr*fx)/12*3</f>
        <v/>
      </c>
    </row>
    <row r="10">
      <c r="A10" s="4" t="inlineStr">
        <is>
          <t>Infra subtotal (ZAR)</t>
        </is>
      </c>
      <c r="B10" s="35">
        <f>SUM(B6:B9)</f>
        <v/>
      </c>
      <c r="C10" s="35">
        <f>SUM(C6:C9)</f>
        <v/>
      </c>
      <c r="D10" s="35">
        <f>SUM(D6:D9)</f>
        <v/>
      </c>
      <c r="E10" s="35">
        <f>SUM(E6:E9)</f>
        <v/>
      </c>
      <c r="F10" s="35">
        <f>SUM(F6:F9)</f>
        <v/>
      </c>
      <c r="G10" s="35">
        <f>SUM(G6:G9)</f>
        <v/>
      </c>
      <c r="H10" s="35">
        <f>SUM(H6:H9)</f>
        <v/>
      </c>
      <c r="I10" s="35">
        <f>SUM(I6:I9)</f>
        <v/>
      </c>
      <c r="J10" s="35">
        <f>SUM(J6:J9)</f>
        <v/>
      </c>
      <c r="K10" s="35">
        <f>SUM(K6:K9)</f>
        <v/>
      </c>
      <c r="L10" s="35">
        <f>SUM(L6:L9)</f>
        <v/>
      </c>
      <c r="M10" s="35">
        <f>SUM(M6:M9)</f>
        <v/>
      </c>
      <c r="N10" s="35">
        <f>SUM(N6:N9)</f>
        <v/>
      </c>
      <c r="O10" s="35">
        <f>SUM(O6:O9)</f>
        <v/>
      </c>
      <c r="P10" s="35">
        <f>SUM(P6:P9)</f>
        <v/>
      </c>
      <c r="Q10" s="35">
        <f>SUM(Q6:Q9)</f>
        <v/>
      </c>
      <c r="R10" s="35">
        <f>SUM(R6:R9)</f>
        <v/>
      </c>
      <c r="S10" s="35">
        <f>SUM(S6:S9)</f>
        <v/>
      </c>
      <c r="T10" s="35">
        <f>SUM(T6:T9)</f>
        <v/>
      </c>
      <c r="U10" s="35">
        <f>SUM(U6:U9)</f>
        <v/>
      </c>
      <c r="V10" s="35">
        <f>SUM(V6:V9)</f>
        <v/>
      </c>
      <c r="W10" s="35">
        <f>SUM(W6:W9)</f>
        <v/>
      </c>
      <c r="X10" s="35">
        <f>SUM(X6:X9)</f>
        <v/>
      </c>
      <c r="Y10" s="35">
        <f>SUM(Y6:Y9)</f>
        <v/>
      </c>
      <c r="Z10" s="35">
        <f>SUM(Z6:Z9)</f>
        <v/>
      </c>
      <c r="AA10" s="35">
        <f>SUM(AA6:AA9)</f>
        <v/>
      </c>
      <c r="AB10" s="35">
        <f>SUM(AB6:AB9)</f>
        <v/>
      </c>
      <c r="AC10" s="35">
        <f>SUM(AC6:AC9)</f>
        <v/>
      </c>
    </row>
    <row r="11">
      <c r="A11" s="4" t="inlineStr">
        <is>
          <t>Marketing spend (ZAR)</t>
        </is>
      </c>
      <c r="B11" s="35">
        <f>mkt_floor*(1+mkt_growth)^(Growth!B21-1)*1</f>
        <v/>
      </c>
      <c r="C11" s="35">
        <f>mkt_floor*(1+mkt_growth)^(Growth!C21-1)*1</f>
        <v/>
      </c>
      <c r="D11" s="35">
        <f>mkt_floor*(1+mkt_growth)^(Growth!D21-1)*1</f>
        <v/>
      </c>
      <c r="E11" s="35">
        <f>mkt_floor*(1+mkt_growth)^(Growth!E21-1)*1</f>
        <v/>
      </c>
      <c r="F11" s="35">
        <f>mkt_floor*(1+mkt_growth)^(Growth!F21-1)*1</f>
        <v/>
      </c>
      <c r="G11" s="35">
        <f>mkt_floor*(1+mkt_growth)^(Growth!G21-1)*1</f>
        <v/>
      </c>
      <c r="H11" s="35">
        <f>mkt_floor*(1+mkt_growth)^(Growth!H21-1)*1</f>
        <v/>
      </c>
      <c r="I11" s="35">
        <f>mkt_floor*(1+mkt_growth)^(Growth!I21-1)*1</f>
        <v/>
      </c>
      <c r="J11" s="35">
        <f>mkt_floor*(1+mkt_growth)^(Growth!J21-1)*1</f>
        <v/>
      </c>
      <c r="K11" s="35">
        <f>mkt_floor*(1+mkt_growth)^(Growth!K21-1)*1</f>
        <v/>
      </c>
      <c r="L11" s="35">
        <f>mkt_floor*(1+mkt_growth)^(Growth!L21-1)*1</f>
        <v/>
      </c>
      <c r="M11" s="35">
        <f>mkt_floor*(1+mkt_growth)^(Growth!M21-1)*1</f>
        <v/>
      </c>
      <c r="N11" s="35">
        <f>mkt_floor*(1+mkt_growth)^(Growth!N21-1)*3</f>
        <v/>
      </c>
      <c r="O11" s="35">
        <f>mkt_floor*(1+mkt_growth)^(Growth!O21-1)*3</f>
        <v/>
      </c>
      <c r="P11" s="35">
        <f>mkt_floor*(1+mkt_growth)^(Growth!P21-1)*3</f>
        <v/>
      </c>
      <c r="Q11" s="35">
        <f>mkt_floor*(1+mkt_growth)^(Growth!Q21-1)*3</f>
        <v/>
      </c>
      <c r="R11" s="35">
        <f>mkt_floor*(1+mkt_growth)^(Growth!R21-1)*3</f>
        <v/>
      </c>
      <c r="S11" s="35">
        <f>mkt_floor*(1+mkt_growth)^(Growth!S21-1)*3</f>
        <v/>
      </c>
      <c r="T11" s="35">
        <f>mkt_floor*(1+mkt_growth)^(Growth!T21-1)*3</f>
        <v/>
      </c>
      <c r="U11" s="35">
        <f>mkt_floor*(1+mkt_growth)^(Growth!U21-1)*3</f>
        <v/>
      </c>
      <c r="V11" s="35">
        <f>mkt_floor*(1+mkt_growth)^(Growth!V21-1)*3</f>
        <v/>
      </c>
      <c r="W11" s="35">
        <f>mkt_floor*(1+mkt_growth)^(Growth!W21-1)*3</f>
        <v/>
      </c>
      <c r="X11" s="35">
        <f>mkt_floor*(1+mkt_growth)^(Growth!X21-1)*3</f>
        <v/>
      </c>
      <c r="Y11" s="35">
        <f>mkt_floor*(1+mkt_growth)^(Growth!Y21-1)*3</f>
        <v/>
      </c>
      <c r="Z11" s="35">
        <f>mkt_floor*(1+mkt_growth)^(Growth!Z21-1)*3</f>
        <v/>
      </c>
      <c r="AA11" s="35">
        <f>mkt_floor*(1+mkt_growth)^(Growth!AA21-1)*3</f>
        <v/>
      </c>
      <c r="AB11" s="35">
        <f>mkt_floor*(1+mkt_growth)^(Growth!AB21-1)*3</f>
        <v/>
      </c>
      <c r="AC11" s="35">
        <f>mkt_floor*(1+mkt_growth)^(Growth!AC21-1)*3</f>
        <v/>
      </c>
    </row>
    <row r="12">
      <c r="A12" s="4" t="inlineStr">
        <is>
          <t>Legal / accounting (ZAR)</t>
        </is>
      </c>
      <c r="B12" s="35">
        <f>legal*1</f>
        <v/>
      </c>
      <c r="C12" s="35">
        <f>legal*1</f>
        <v/>
      </c>
      <c r="D12" s="35">
        <f>legal*1</f>
        <v/>
      </c>
      <c r="E12" s="35">
        <f>legal*1</f>
        <v/>
      </c>
      <c r="F12" s="35">
        <f>legal*1</f>
        <v/>
      </c>
      <c r="G12" s="35">
        <f>legal*1</f>
        <v/>
      </c>
      <c r="H12" s="35">
        <f>legal*1</f>
        <v/>
      </c>
      <c r="I12" s="35">
        <f>legal*1</f>
        <v/>
      </c>
      <c r="J12" s="35">
        <f>legal*1</f>
        <v/>
      </c>
      <c r="K12" s="35">
        <f>legal*1</f>
        <v/>
      </c>
      <c r="L12" s="35">
        <f>legal*1</f>
        <v/>
      </c>
      <c r="M12" s="35">
        <f>legal*1</f>
        <v/>
      </c>
      <c r="N12" s="35">
        <f>legal*3</f>
        <v/>
      </c>
      <c r="O12" s="35">
        <f>legal*3</f>
        <v/>
      </c>
      <c r="P12" s="35">
        <f>legal*3</f>
        <v/>
      </c>
      <c r="Q12" s="35">
        <f>legal*3</f>
        <v/>
      </c>
      <c r="R12" s="35">
        <f>legal*3</f>
        <v/>
      </c>
      <c r="S12" s="35">
        <f>legal*3</f>
        <v/>
      </c>
      <c r="T12" s="35">
        <f>legal*3</f>
        <v/>
      </c>
      <c r="U12" s="35">
        <f>legal*3</f>
        <v/>
      </c>
      <c r="V12" s="35">
        <f>legal*3</f>
        <v/>
      </c>
      <c r="W12" s="35">
        <f>legal*3</f>
        <v/>
      </c>
      <c r="X12" s="35">
        <f>legal*3</f>
        <v/>
      </c>
      <c r="Y12" s="35">
        <f>legal*3</f>
        <v/>
      </c>
      <c r="Z12" s="35">
        <f>legal*3</f>
        <v/>
      </c>
      <c r="AA12" s="35">
        <f>legal*3</f>
        <v/>
      </c>
      <c r="AB12" s="35">
        <f>legal*3</f>
        <v/>
      </c>
      <c r="AC12" s="35">
        <f>legal*3</f>
        <v/>
      </c>
    </row>
    <row r="13">
      <c r="A13" s="4" t="inlineStr">
        <is>
          <t>Founder salary (Carl) (ZAR)</t>
        </is>
      </c>
      <c r="B13" s="35">
        <f>founder_salary*(1+salary_growth)^(Growth!B21-1)*1</f>
        <v/>
      </c>
      <c r="C13" s="35">
        <f>founder_salary*(1+salary_growth)^(Growth!C21-1)*1</f>
        <v/>
      </c>
      <c r="D13" s="35">
        <f>founder_salary*(1+salary_growth)^(Growth!D21-1)*1</f>
        <v/>
      </c>
      <c r="E13" s="35">
        <f>founder_salary*(1+salary_growth)^(Growth!E21-1)*1</f>
        <v/>
      </c>
      <c r="F13" s="35">
        <f>founder_salary*(1+salary_growth)^(Growth!F21-1)*1</f>
        <v/>
      </c>
      <c r="G13" s="35">
        <f>founder_salary*(1+salary_growth)^(Growth!G21-1)*1</f>
        <v/>
      </c>
      <c r="H13" s="35">
        <f>founder_salary*(1+salary_growth)^(Growth!H21-1)*1</f>
        <v/>
      </c>
      <c r="I13" s="35">
        <f>founder_salary*(1+salary_growth)^(Growth!I21-1)*1</f>
        <v/>
      </c>
      <c r="J13" s="35">
        <f>founder_salary*(1+salary_growth)^(Growth!J21-1)*1</f>
        <v/>
      </c>
      <c r="K13" s="35">
        <f>founder_salary*(1+salary_growth)^(Growth!K21-1)*1</f>
        <v/>
      </c>
      <c r="L13" s="35">
        <f>founder_salary*(1+salary_growth)^(Growth!L21-1)*1</f>
        <v/>
      </c>
      <c r="M13" s="35">
        <f>founder_salary*(1+salary_growth)^(Growth!M21-1)*1</f>
        <v/>
      </c>
      <c r="N13" s="35">
        <f>founder_salary*(1+salary_growth)^(Growth!N21-1)*3</f>
        <v/>
      </c>
      <c r="O13" s="35">
        <f>founder_salary*(1+salary_growth)^(Growth!O21-1)*3</f>
        <v/>
      </c>
      <c r="P13" s="35">
        <f>founder_salary*(1+salary_growth)^(Growth!P21-1)*3</f>
        <v/>
      </c>
      <c r="Q13" s="35">
        <f>founder_salary*(1+salary_growth)^(Growth!Q21-1)*3</f>
        <v/>
      </c>
      <c r="R13" s="35">
        <f>founder_salary*(1+salary_growth)^(Growth!R21-1)*3</f>
        <v/>
      </c>
      <c r="S13" s="35">
        <f>founder_salary*(1+salary_growth)^(Growth!S21-1)*3</f>
        <v/>
      </c>
      <c r="T13" s="35">
        <f>founder_salary*(1+salary_growth)^(Growth!T21-1)*3</f>
        <v/>
      </c>
      <c r="U13" s="35">
        <f>founder_salary*(1+salary_growth)^(Growth!U21-1)*3</f>
        <v/>
      </c>
      <c r="V13" s="35">
        <f>founder_salary*(1+salary_growth)^(Growth!V21-1)*3</f>
        <v/>
      </c>
      <c r="W13" s="35">
        <f>founder_salary*(1+salary_growth)^(Growth!W21-1)*3</f>
        <v/>
      </c>
      <c r="X13" s="35">
        <f>founder_salary*(1+salary_growth)^(Growth!X21-1)*3</f>
        <v/>
      </c>
      <c r="Y13" s="35">
        <f>founder_salary*(1+salary_growth)^(Growth!Y21-1)*3</f>
        <v/>
      </c>
      <c r="Z13" s="35">
        <f>founder_salary*(1+salary_growth)^(Growth!Z21-1)*3</f>
        <v/>
      </c>
      <c r="AA13" s="35">
        <f>founder_salary*(1+salary_growth)^(Growth!AA21-1)*3</f>
        <v/>
      </c>
      <c r="AB13" s="35">
        <f>founder_salary*(1+salary_growth)^(Growth!AB21-1)*3</f>
        <v/>
      </c>
      <c r="AC13" s="35">
        <f>founder_salary*(1+salary_growth)^(Growth!AC21-1)*3</f>
        <v/>
      </c>
    </row>
    <row r="14">
      <c r="A14" s="4" t="inlineStr">
        <is>
          <t>Hire 1 — Customer success (ZAR)</t>
        </is>
      </c>
      <c r="B14" s="35">
        <f>IF(AND(hire1_yr&gt;0,Growth!B21&gt;=hire1_yr),hire1_sal*1,0)</f>
        <v/>
      </c>
      <c r="C14" s="35">
        <f>IF(AND(hire1_yr&gt;0,Growth!C21&gt;=hire1_yr),hire1_sal*1,0)</f>
        <v/>
      </c>
      <c r="D14" s="35">
        <f>IF(AND(hire1_yr&gt;0,Growth!D21&gt;=hire1_yr),hire1_sal*1,0)</f>
        <v/>
      </c>
      <c r="E14" s="35">
        <f>IF(AND(hire1_yr&gt;0,Growth!E21&gt;=hire1_yr),hire1_sal*1,0)</f>
        <v/>
      </c>
      <c r="F14" s="35">
        <f>IF(AND(hire1_yr&gt;0,Growth!F21&gt;=hire1_yr),hire1_sal*1,0)</f>
        <v/>
      </c>
      <c r="G14" s="35">
        <f>IF(AND(hire1_yr&gt;0,Growth!G21&gt;=hire1_yr),hire1_sal*1,0)</f>
        <v/>
      </c>
      <c r="H14" s="35">
        <f>IF(AND(hire1_yr&gt;0,Growth!H21&gt;=hire1_yr),hire1_sal*1,0)</f>
        <v/>
      </c>
      <c r="I14" s="35">
        <f>IF(AND(hire1_yr&gt;0,Growth!I21&gt;=hire1_yr),hire1_sal*1,0)</f>
        <v/>
      </c>
      <c r="J14" s="35">
        <f>IF(AND(hire1_yr&gt;0,Growth!J21&gt;=hire1_yr),hire1_sal*1,0)</f>
        <v/>
      </c>
      <c r="K14" s="35">
        <f>IF(AND(hire1_yr&gt;0,Growth!K21&gt;=hire1_yr),hire1_sal*1,0)</f>
        <v/>
      </c>
      <c r="L14" s="35">
        <f>IF(AND(hire1_yr&gt;0,Growth!L21&gt;=hire1_yr),hire1_sal*1,0)</f>
        <v/>
      </c>
      <c r="M14" s="35">
        <f>IF(AND(hire1_yr&gt;0,Growth!M21&gt;=hire1_yr),hire1_sal*1,0)</f>
        <v/>
      </c>
      <c r="N14" s="35">
        <f>IF(AND(hire1_yr&gt;0,Growth!N21&gt;=hire1_yr),hire1_sal*3,0)</f>
        <v/>
      </c>
      <c r="O14" s="35">
        <f>IF(AND(hire1_yr&gt;0,Growth!O21&gt;=hire1_yr),hire1_sal*3,0)</f>
        <v/>
      </c>
      <c r="P14" s="35">
        <f>IF(AND(hire1_yr&gt;0,Growth!P21&gt;=hire1_yr),hire1_sal*3,0)</f>
        <v/>
      </c>
      <c r="Q14" s="35">
        <f>IF(AND(hire1_yr&gt;0,Growth!Q21&gt;=hire1_yr),hire1_sal*3,0)</f>
        <v/>
      </c>
      <c r="R14" s="35">
        <f>IF(AND(hire1_yr&gt;0,Growth!R21&gt;=hire1_yr),hire1_sal*3,0)</f>
        <v/>
      </c>
      <c r="S14" s="35">
        <f>IF(AND(hire1_yr&gt;0,Growth!S21&gt;=hire1_yr),hire1_sal*3,0)</f>
        <v/>
      </c>
      <c r="T14" s="35">
        <f>IF(AND(hire1_yr&gt;0,Growth!T21&gt;=hire1_yr),hire1_sal*3,0)</f>
        <v/>
      </c>
      <c r="U14" s="35">
        <f>IF(AND(hire1_yr&gt;0,Growth!U21&gt;=hire1_yr),hire1_sal*3,0)</f>
        <v/>
      </c>
      <c r="V14" s="35">
        <f>IF(AND(hire1_yr&gt;0,Growth!V21&gt;=hire1_yr),hire1_sal*3,0)</f>
        <v/>
      </c>
      <c r="W14" s="35">
        <f>IF(AND(hire1_yr&gt;0,Growth!W21&gt;=hire1_yr),hire1_sal*3,0)</f>
        <v/>
      </c>
      <c r="X14" s="35">
        <f>IF(AND(hire1_yr&gt;0,Growth!X21&gt;=hire1_yr),hire1_sal*3,0)</f>
        <v/>
      </c>
      <c r="Y14" s="35">
        <f>IF(AND(hire1_yr&gt;0,Growth!Y21&gt;=hire1_yr),hire1_sal*3,0)</f>
        <v/>
      </c>
      <c r="Z14" s="35">
        <f>IF(AND(hire1_yr&gt;0,Growth!Z21&gt;=hire1_yr),hire1_sal*3,0)</f>
        <v/>
      </c>
      <c r="AA14" s="35">
        <f>IF(AND(hire1_yr&gt;0,Growth!AA21&gt;=hire1_yr),hire1_sal*3,0)</f>
        <v/>
      </c>
      <c r="AB14" s="35">
        <f>IF(AND(hire1_yr&gt;0,Growth!AB21&gt;=hire1_yr),hire1_sal*3,0)</f>
        <v/>
      </c>
      <c r="AC14" s="35">
        <f>IF(AND(hire1_yr&gt;0,Growth!AC21&gt;=hire1_yr),hire1_sal*3,0)</f>
        <v/>
      </c>
    </row>
    <row r="15">
      <c r="A15" s="4" t="inlineStr">
        <is>
          <t>Hire 2 — Engineer (ZAR)</t>
        </is>
      </c>
      <c r="B15" s="35">
        <f>IF(AND(hire2_yr&gt;0,Growth!B21&gt;=hire2_yr),hire2_sal*1,0)</f>
        <v/>
      </c>
      <c r="C15" s="35">
        <f>IF(AND(hire2_yr&gt;0,Growth!C21&gt;=hire2_yr),hire2_sal*1,0)</f>
        <v/>
      </c>
      <c r="D15" s="35">
        <f>IF(AND(hire2_yr&gt;0,Growth!D21&gt;=hire2_yr),hire2_sal*1,0)</f>
        <v/>
      </c>
      <c r="E15" s="35">
        <f>IF(AND(hire2_yr&gt;0,Growth!E21&gt;=hire2_yr),hire2_sal*1,0)</f>
        <v/>
      </c>
      <c r="F15" s="35">
        <f>IF(AND(hire2_yr&gt;0,Growth!F21&gt;=hire2_yr),hire2_sal*1,0)</f>
        <v/>
      </c>
      <c r="G15" s="35">
        <f>IF(AND(hire2_yr&gt;0,Growth!G21&gt;=hire2_yr),hire2_sal*1,0)</f>
        <v/>
      </c>
      <c r="H15" s="35">
        <f>IF(AND(hire2_yr&gt;0,Growth!H21&gt;=hire2_yr),hire2_sal*1,0)</f>
        <v/>
      </c>
      <c r="I15" s="35">
        <f>IF(AND(hire2_yr&gt;0,Growth!I21&gt;=hire2_yr),hire2_sal*1,0)</f>
        <v/>
      </c>
      <c r="J15" s="35">
        <f>IF(AND(hire2_yr&gt;0,Growth!J21&gt;=hire2_yr),hire2_sal*1,0)</f>
        <v/>
      </c>
      <c r="K15" s="35">
        <f>IF(AND(hire2_yr&gt;0,Growth!K21&gt;=hire2_yr),hire2_sal*1,0)</f>
        <v/>
      </c>
      <c r="L15" s="35">
        <f>IF(AND(hire2_yr&gt;0,Growth!L21&gt;=hire2_yr),hire2_sal*1,0)</f>
        <v/>
      </c>
      <c r="M15" s="35">
        <f>IF(AND(hire2_yr&gt;0,Growth!M21&gt;=hire2_yr),hire2_sal*1,0)</f>
        <v/>
      </c>
      <c r="N15" s="35">
        <f>IF(AND(hire2_yr&gt;0,Growth!N21&gt;=hire2_yr),hire2_sal*3,0)</f>
        <v/>
      </c>
      <c r="O15" s="35">
        <f>IF(AND(hire2_yr&gt;0,Growth!O21&gt;=hire2_yr),hire2_sal*3,0)</f>
        <v/>
      </c>
      <c r="P15" s="35">
        <f>IF(AND(hire2_yr&gt;0,Growth!P21&gt;=hire2_yr),hire2_sal*3,0)</f>
        <v/>
      </c>
      <c r="Q15" s="35">
        <f>IF(AND(hire2_yr&gt;0,Growth!Q21&gt;=hire2_yr),hire2_sal*3,0)</f>
        <v/>
      </c>
      <c r="R15" s="35">
        <f>IF(AND(hire2_yr&gt;0,Growth!R21&gt;=hire2_yr),hire2_sal*3,0)</f>
        <v/>
      </c>
      <c r="S15" s="35">
        <f>IF(AND(hire2_yr&gt;0,Growth!S21&gt;=hire2_yr),hire2_sal*3,0)</f>
        <v/>
      </c>
      <c r="T15" s="35">
        <f>IF(AND(hire2_yr&gt;0,Growth!T21&gt;=hire2_yr),hire2_sal*3,0)</f>
        <v/>
      </c>
      <c r="U15" s="35">
        <f>IF(AND(hire2_yr&gt;0,Growth!U21&gt;=hire2_yr),hire2_sal*3,0)</f>
        <v/>
      </c>
      <c r="V15" s="35">
        <f>IF(AND(hire2_yr&gt;0,Growth!V21&gt;=hire2_yr),hire2_sal*3,0)</f>
        <v/>
      </c>
      <c r="W15" s="35">
        <f>IF(AND(hire2_yr&gt;0,Growth!W21&gt;=hire2_yr),hire2_sal*3,0)</f>
        <v/>
      </c>
      <c r="X15" s="35">
        <f>IF(AND(hire2_yr&gt;0,Growth!X21&gt;=hire2_yr),hire2_sal*3,0)</f>
        <v/>
      </c>
      <c r="Y15" s="35">
        <f>IF(AND(hire2_yr&gt;0,Growth!Y21&gt;=hire2_yr),hire2_sal*3,0)</f>
        <v/>
      </c>
      <c r="Z15" s="35">
        <f>IF(AND(hire2_yr&gt;0,Growth!Z21&gt;=hire2_yr),hire2_sal*3,0)</f>
        <v/>
      </c>
      <c r="AA15" s="35">
        <f>IF(AND(hire2_yr&gt;0,Growth!AA21&gt;=hire2_yr),hire2_sal*3,0)</f>
        <v/>
      </c>
      <c r="AB15" s="35">
        <f>IF(AND(hire2_yr&gt;0,Growth!AB21&gt;=hire2_yr),hire2_sal*3,0)</f>
        <v/>
      </c>
      <c r="AC15" s="35">
        <f>IF(AND(hire2_yr&gt;0,Growth!AC21&gt;=hire2_yr),hire2_sal*3,0)</f>
        <v/>
      </c>
    </row>
    <row r="16">
      <c r="A16" s="4" t="inlineStr">
        <is>
          <t>OpEx subtotal (ZAR)</t>
        </is>
      </c>
      <c r="B16" s="35">
        <f>SUM(B11:B15)</f>
        <v/>
      </c>
      <c r="C16" s="35">
        <f>SUM(C11:C15)</f>
        <v/>
      </c>
      <c r="D16" s="35">
        <f>SUM(D11:D15)</f>
        <v/>
      </c>
      <c r="E16" s="35">
        <f>SUM(E11:E15)</f>
        <v/>
      </c>
      <c r="F16" s="35">
        <f>SUM(F11:F15)</f>
        <v/>
      </c>
      <c r="G16" s="35">
        <f>SUM(G11:G15)</f>
        <v/>
      </c>
      <c r="H16" s="35">
        <f>SUM(H11:H15)</f>
        <v/>
      </c>
      <c r="I16" s="35">
        <f>SUM(I11:I15)</f>
        <v/>
      </c>
      <c r="J16" s="35">
        <f>SUM(J11:J15)</f>
        <v/>
      </c>
      <c r="K16" s="35">
        <f>SUM(K11:K15)</f>
        <v/>
      </c>
      <c r="L16" s="35">
        <f>SUM(L11:L15)</f>
        <v/>
      </c>
      <c r="M16" s="35">
        <f>SUM(M11:M15)</f>
        <v/>
      </c>
      <c r="N16" s="35">
        <f>SUM(N11:N15)</f>
        <v/>
      </c>
      <c r="O16" s="35">
        <f>SUM(O11:O15)</f>
        <v/>
      </c>
      <c r="P16" s="35">
        <f>SUM(P11:P15)</f>
        <v/>
      </c>
      <c r="Q16" s="35">
        <f>SUM(Q11:Q15)</f>
        <v/>
      </c>
      <c r="R16" s="35">
        <f>SUM(R11:R15)</f>
        <v/>
      </c>
      <c r="S16" s="35">
        <f>SUM(S11:S15)</f>
        <v/>
      </c>
      <c r="T16" s="35">
        <f>SUM(T11:T15)</f>
        <v/>
      </c>
      <c r="U16" s="35">
        <f>SUM(U11:U15)</f>
        <v/>
      </c>
      <c r="V16" s="35">
        <f>SUM(V11:V15)</f>
        <v/>
      </c>
      <c r="W16" s="35">
        <f>SUM(W11:W15)</f>
        <v/>
      </c>
      <c r="X16" s="35">
        <f>SUM(X11:X15)</f>
        <v/>
      </c>
      <c r="Y16" s="35">
        <f>SUM(Y11:Y15)</f>
        <v/>
      </c>
      <c r="Z16" s="35">
        <f>SUM(Z11:Z15)</f>
        <v/>
      </c>
      <c r="AA16" s="35">
        <f>SUM(AA11:AA15)</f>
        <v/>
      </c>
      <c r="AB16" s="35">
        <f>SUM(AB11:AB15)</f>
        <v/>
      </c>
      <c r="AC16" s="35">
        <f>SUM(AC11:AC15)</f>
        <v/>
      </c>
    </row>
    <row r="17">
      <c r="A17" s="4" t="inlineStr">
        <is>
          <t>COGS (PayFast fees, ref)</t>
        </is>
      </c>
      <c r="B17" s="35">
        <f>Revenue!B13</f>
        <v/>
      </c>
      <c r="C17" s="35">
        <f>Revenue!C13</f>
        <v/>
      </c>
      <c r="D17" s="35">
        <f>Revenue!D13</f>
        <v/>
      </c>
      <c r="E17" s="35">
        <f>Revenue!E13</f>
        <v/>
      </c>
      <c r="F17" s="35">
        <f>Revenue!F13</f>
        <v/>
      </c>
      <c r="G17" s="35">
        <f>Revenue!G13</f>
        <v/>
      </c>
      <c r="H17" s="35">
        <f>Revenue!H13</f>
        <v/>
      </c>
      <c r="I17" s="35">
        <f>Revenue!I13</f>
        <v/>
      </c>
      <c r="J17" s="35">
        <f>Revenue!J13</f>
        <v/>
      </c>
      <c r="K17" s="35">
        <f>Revenue!K13</f>
        <v/>
      </c>
      <c r="L17" s="35">
        <f>Revenue!L13</f>
        <v/>
      </c>
      <c r="M17" s="35">
        <f>Revenue!M13</f>
        <v/>
      </c>
      <c r="N17" s="35">
        <f>Revenue!N13</f>
        <v/>
      </c>
      <c r="O17" s="35">
        <f>Revenue!O13</f>
        <v/>
      </c>
      <c r="P17" s="35">
        <f>Revenue!P13</f>
        <v/>
      </c>
      <c r="Q17" s="35">
        <f>Revenue!Q13</f>
        <v/>
      </c>
      <c r="R17" s="35">
        <f>Revenue!R13</f>
        <v/>
      </c>
      <c r="S17" s="35">
        <f>Revenue!S13</f>
        <v/>
      </c>
      <c r="T17" s="35">
        <f>Revenue!T13</f>
        <v/>
      </c>
      <c r="U17" s="35">
        <f>Revenue!U13</f>
        <v/>
      </c>
      <c r="V17" s="35">
        <f>Revenue!V13</f>
        <v/>
      </c>
      <c r="W17" s="35">
        <f>Revenue!W13</f>
        <v/>
      </c>
      <c r="X17" s="35">
        <f>Revenue!X13</f>
        <v/>
      </c>
      <c r="Y17" s="35">
        <f>Revenue!Y13</f>
        <v/>
      </c>
      <c r="Z17" s="35">
        <f>Revenue!Z13</f>
        <v/>
      </c>
      <c r="AA17" s="35">
        <f>Revenue!AA13</f>
        <v/>
      </c>
      <c r="AB17" s="35">
        <f>Revenue!AB13</f>
        <v/>
      </c>
      <c r="AC17" s="35">
        <f>Revenue!AC13</f>
        <v/>
      </c>
    </row>
    <row r="18">
      <c r="A18" s="4" t="inlineStr">
        <is>
          <t>Total costs (ZAR)</t>
        </is>
      </c>
      <c r="B18" s="35">
        <f>B10+B16+B17</f>
        <v/>
      </c>
      <c r="C18" s="35">
        <f>C10+C16+C17</f>
        <v/>
      </c>
      <c r="D18" s="35">
        <f>D10+D16+D17</f>
        <v/>
      </c>
      <c r="E18" s="35">
        <f>E10+E16+E17</f>
        <v/>
      </c>
      <c r="F18" s="35">
        <f>F10+F16+F17</f>
        <v/>
      </c>
      <c r="G18" s="35">
        <f>G10+G16+G17</f>
        <v/>
      </c>
      <c r="H18" s="35">
        <f>H10+H16+H17</f>
        <v/>
      </c>
      <c r="I18" s="35">
        <f>I10+I16+I17</f>
        <v/>
      </c>
      <c r="J18" s="35">
        <f>J10+J16+J17</f>
        <v/>
      </c>
      <c r="K18" s="35">
        <f>K10+K16+K17</f>
        <v/>
      </c>
      <c r="L18" s="35">
        <f>L10+L16+L17</f>
        <v/>
      </c>
      <c r="M18" s="35">
        <f>M10+M16+M17</f>
        <v/>
      </c>
      <c r="N18" s="35">
        <f>N10+N16+N17</f>
        <v/>
      </c>
      <c r="O18" s="35">
        <f>O10+O16+O17</f>
        <v/>
      </c>
      <c r="P18" s="35">
        <f>P10+P16+P17</f>
        <v/>
      </c>
      <c r="Q18" s="35">
        <f>Q10+Q16+Q17</f>
        <v/>
      </c>
      <c r="R18" s="35">
        <f>R10+R16+R17</f>
        <v/>
      </c>
      <c r="S18" s="35">
        <f>S10+S16+S17</f>
        <v/>
      </c>
      <c r="T18" s="35">
        <f>T10+T16+T17</f>
        <v/>
      </c>
      <c r="U18" s="35">
        <f>U10+U16+U17</f>
        <v/>
      </c>
      <c r="V18" s="35">
        <f>V10+V16+V17</f>
        <v/>
      </c>
      <c r="W18" s="35">
        <f>W10+W16+W17</f>
        <v/>
      </c>
      <c r="X18" s="35">
        <f>X10+X16+X17</f>
        <v/>
      </c>
      <c r="Y18" s="35">
        <f>Y10+Y16+Y17</f>
        <v/>
      </c>
      <c r="Z18" s="35">
        <f>Z10+Z16+Z17</f>
        <v/>
      </c>
      <c r="AA18" s="35">
        <f>AA10+AA16+AA17</f>
        <v/>
      </c>
      <c r="AB18" s="35">
        <f>AB10+AB16+AB17</f>
        <v/>
      </c>
      <c r="AC18" s="35">
        <f>AC10+AC16+AC17</f>
        <v/>
      </c>
    </row>
    <row r="19">
      <c r="A19" s="4" t="inlineStr">
        <is>
          <t>Total costs USD (info)</t>
        </is>
      </c>
      <c r="B19" s="36">
        <f>B18/fx</f>
        <v/>
      </c>
      <c r="C19" s="36">
        <f>C18/fx</f>
        <v/>
      </c>
      <c r="D19" s="36">
        <f>D18/fx</f>
        <v/>
      </c>
      <c r="E19" s="36">
        <f>E18/fx</f>
        <v/>
      </c>
      <c r="F19" s="36">
        <f>F18/fx</f>
        <v/>
      </c>
      <c r="G19" s="36">
        <f>G18/fx</f>
        <v/>
      </c>
      <c r="H19" s="36">
        <f>H18/fx</f>
        <v/>
      </c>
      <c r="I19" s="36">
        <f>I18/fx</f>
        <v/>
      </c>
      <c r="J19" s="36">
        <f>J18/fx</f>
        <v/>
      </c>
      <c r="K19" s="36">
        <f>K18/fx</f>
        <v/>
      </c>
      <c r="L19" s="36">
        <f>L18/fx</f>
        <v/>
      </c>
      <c r="M19" s="36">
        <f>M18/fx</f>
        <v/>
      </c>
      <c r="N19" s="36">
        <f>N18/fx</f>
        <v/>
      </c>
      <c r="O19" s="36">
        <f>O18/fx</f>
        <v/>
      </c>
      <c r="P19" s="36">
        <f>P18/fx</f>
        <v/>
      </c>
      <c r="Q19" s="36">
        <f>Q18/fx</f>
        <v/>
      </c>
      <c r="R19" s="36">
        <f>R18/fx</f>
        <v/>
      </c>
      <c r="S19" s="36">
        <f>S18/fx</f>
        <v/>
      </c>
      <c r="T19" s="36">
        <f>T18/fx</f>
        <v/>
      </c>
      <c r="U19" s="36">
        <f>U18/fx</f>
        <v/>
      </c>
      <c r="V19" s="36">
        <f>V18/fx</f>
        <v/>
      </c>
      <c r="W19" s="36">
        <f>W18/fx</f>
        <v/>
      </c>
      <c r="X19" s="36">
        <f>X18/fx</f>
        <v/>
      </c>
      <c r="Y19" s="36">
        <f>Y18/fx</f>
        <v/>
      </c>
      <c r="Z19" s="36">
        <f>Z18/fx</f>
        <v/>
      </c>
      <c r="AA19" s="36">
        <f>AA18/fx</f>
        <v/>
      </c>
      <c r="AB19" s="36">
        <f>AB18/fx</f>
        <v/>
      </c>
      <c r="AC19" s="36">
        <f>AC18/fx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0" t="inlineStr">
        <is>
          <t>Annual P&amp;L (ZAR)</t>
        </is>
      </c>
    </row>
    <row r="4">
      <c r="A4" s="31" t="inlineStr">
        <is>
          <t>Line item</t>
        </is>
      </c>
      <c r="B4" s="10" t="inlineStr">
        <is>
          <t>Year 1</t>
        </is>
      </c>
      <c r="C4" s="10" t="inlineStr">
        <is>
          <t>Year 2</t>
        </is>
      </c>
      <c r="D4" s="10" t="inlineStr">
        <is>
          <t>Year 3</t>
        </is>
      </c>
      <c r="E4" s="10" t="inlineStr">
        <is>
          <t>Year 4</t>
        </is>
      </c>
      <c r="F4" s="10" t="inlineStr">
        <is>
          <t>Year 5</t>
        </is>
      </c>
      <c r="G4" s="31" t="inlineStr">
        <is>
          <t>5-yr total</t>
        </is>
      </c>
    </row>
    <row r="5">
      <c r="A5" s="4" t="inlineStr">
        <is>
          <t>Active paying (end-of-year)</t>
        </is>
      </c>
      <c r="B5" s="32">
        <f>Growth!M16</f>
        <v/>
      </c>
      <c r="C5" s="32">
        <f>Growth!Q16</f>
        <v/>
      </c>
      <c r="D5" s="32">
        <f>Growth!U16</f>
        <v/>
      </c>
      <c r="E5" s="32">
        <f>Growth!Y16</f>
        <v/>
      </c>
      <c r="F5" s="32">
        <f>Growth!AC16</f>
        <v/>
      </c>
      <c r="G5" s="32">
        <f>SUM(B5:F5)</f>
        <v/>
      </c>
    </row>
    <row r="6">
      <c r="A6" s="4" t="inlineStr">
        <is>
          <t>Gross revenue (ZAR, VAT-incl.)</t>
        </is>
      </c>
      <c r="B6" s="35">
        <f>SUM(Revenue!B9:M9)</f>
        <v/>
      </c>
      <c r="C6" s="35">
        <f>SUM(Revenue!N9:Q9)</f>
        <v/>
      </c>
      <c r="D6" s="35">
        <f>SUM(Revenue!R9:U9)</f>
        <v/>
      </c>
      <c r="E6" s="35">
        <f>SUM(Revenue!V9:Y9)</f>
        <v/>
      </c>
      <c r="F6" s="35">
        <f>SUM(Revenue!Z9:AC9)</f>
        <v/>
      </c>
      <c r="G6" s="35">
        <f>SUM(B6:F6)</f>
        <v/>
      </c>
    </row>
    <row r="7">
      <c r="A7" s="4" t="inlineStr">
        <is>
          <t>Less: VAT</t>
        </is>
      </c>
      <c r="B7" s="35">
        <f>-SUM(Revenue!B10:M10)</f>
        <v/>
      </c>
      <c r="C7" s="35">
        <f>-SUM(Revenue!N10:Q10)</f>
        <v/>
      </c>
      <c r="D7" s="35">
        <f>-SUM(Revenue!R10:U10)</f>
        <v/>
      </c>
      <c r="E7" s="35">
        <f>-SUM(Revenue!V10:Y10)</f>
        <v/>
      </c>
      <c r="F7" s="35">
        <f>-SUM(Revenue!Z10:AC10)</f>
        <v/>
      </c>
      <c r="G7" s="35">
        <f>SUM(B7:F7)</f>
        <v/>
      </c>
    </row>
    <row r="8">
      <c r="A8" s="4" t="inlineStr">
        <is>
          <t>Net revenue ex-VAT</t>
        </is>
      </c>
      <c r="B8" s="35">
        <f>SUM(Revenue!B11:M11)</f>
        <v/>
      </c>
      <c r="C8" s="35">
        <f>SUM(Revenue!N11:Q11)</f>
        <v/>
      </c>
      <c r="D8" s="35">
        <f>SUM(Revenue!R11:U11)</f>
        <v/>
      </c>
      <c r="E8" s="35">
        <f>SUM(Revenue!V11:Y11)</f>
        <v/>
      </c>
      <c r="F8" s="35">
        <f>SUM(Revenue!Z11:AC11)</f>
        <v/>
      </c>
      <c r="G8" s="35">
        <f>SUM(B8:F8)</f>
        <v/>
      </c>
    </row>
    <row r="9">
      <c r="A9" s="4" t="inlineStr">
        <is>
          <t>Less: PayFast fees (COGS)</t>
        </is>
      </c>
      <c r="B9" s="35">
        <f>-SUM(Revenue!B13:M13)</f>
        <v/>
      </c>
      <c r="C9" s="35">
        <f>-SUM(Revenue!N13:Q13)</f>
        <v/>
      </c>
      <c r="D9" s="35">
        <f>-SUM(Revenue!R13:U13)</f>
        <v/>
      </c>
      <c r="E9" s="35">
        <f>-SUM(Revenue!V13:Y13)</f>
        <v/>
      </c>
      <c r="F9" s="35">
        <f>-SUM(Revenue!Z13:AC13)</f>
        <v/>
      </c>
      <c r="G9" s="35">
        <f>SUM(B9:F9)</f>
        <v/>
      </c>
    </row>
    <row r="10">
      <c r="A10" s="4" t="inlineStr">
        <is>
          <t>Gross profit</t>
        </is>
      </c>
      <c r="B10" s="35">
        <f>SUM(Revenue!B14:M14)</f>
        <v/>
      </c>
      <c r="C10" s="35">
        <f>SUM(Revenue!N14:Q14)</f>
        <v/>
      </c>
      <c r="D10" s="35">
        <f>SUM(Revenue!R14:U14)</f>
        <v/>
      </c>
      <c r="E10" s="35">
        <f>SUM(Revenue!V14:Y14)</f>
        <v/>
      </c>
      <c r="F10" s="35">
        <f>SUM(Revenue!Z14:AC14)</f>
        <v/>
      </c>
      <c r="G10" s="35">
        <f>SUM(B10:F10)</f>
        <v/>
      </c>
    </row>
    <row r="11">
      <c r="A11" s="4" t="inlineStr">
        <is>
          <t>Gross margin %</t>
        </is>
      </c>
      <c r="B11" s="37">
        <f>SUM(Revenue!B14:M14)/MAX(SUM(Revenue!B11:M11),1)</f>
        <v/>
      </c>
      <c r="C11" s="37">
        <f>SUM(Revenue!N14:Q14)/MAX(SUM(Revenue!N11:Q11),1)</f>
        <v/>
      </c>
      <c r="D11" s="37">
        <f>SUM(Revenue!R14:U14)/MAX(SUM(Revenue!R11:U11),1)</f>
        <v/>
      </c>
      <c r="E11" s="37">
        <f>SUM(Revenue!V14:Y14)/MAX(SUM(Revenue!V11:Y11),1)</f>
        <v/>
      </c>
      <c r="F11" s="37">
        <f>SUM(Revenue!Z14:AC14)/MAX(SUM(Revenue!Z11:AC11),1)</f>
        <v/>
      </c>
    </row>
    <row r="12">
      <c r="A12" s="4" t="inlineStr">
        <is>
          <t>Less: Infrastructure</t>
        </is>
      </c>
      <c r="B12" s="35">
        <f>-SUM(Costs!B10:M10)</f>
        <v/>
      </c>
      <c r="C12" s="35">
        <f>-SUM(Costs!N10:Q10)</f>
        <v/>
      </c>
      <c r="D12" s="35">
        <f>-SUM(Costs!R10:U10)</f>
        <v/>
      </c>
      <c r="E12" s="35">
        <f>-SUM(Costs!V10:Y10)</f>
        <v/>
      </c>
      <c r="F12" s="35">
        <f>-SUM(Costs!Z10:AC10)</f>
        <v/>
      </c>
      <c r="G12" s="35">
        <f>SUM(B12:F12)</f>
        <v/>
      </c>
    </row>
    <row r="13">
      <c r="A13" s="4" t="inlineStr">
        <is>
          <t>Less: OpEx (marketing+legal+salaries)</t>
        </is>
      </c>
      <c r="B13" s="35">
        <f>-SUM(Costs!B16:M16)</f>
        <v/>
      </c>
      <c r="C13" s="35">
        <f>-SUM(Costs!N16:Q16)</f>
        <v/>
      </c>
      <c r="D13" s="35">
        <f>-SUM(Costs!R16:U16)</f>
        <v/>
      </c>
      <c r="E13" s="35">
        <f>-SUM(Costs!V16:Y16)</f>
        <v/>
      </c>
      <c r="F13" s="35">
        <f>-SUM(Costs!Z16:AC16)</f>
        <v/>
      </c>
      <c r="G13" s="35">
        <f>SUM(B13:F13)</f>
        <v/>
      </c>
    </row>
    <row r="14">
      <c r="A14" s="4" t="inlineStr">
        <is>
          <t>EBITDA</t>
        </is>
      </c>
      <c r="B14" s="35">
        <f>B10+B12+B13</f>
        <v/>
      </c>
      <c r="C14" s="35">
        <f>C10+C12+C13</f>
        <v/>
      </c>
      <c r="D14" s="35">
        <f>D10+D12+D13</f>
        <v/>
      </c>
      <c r="E14" s="35">
        <f>E10+E12+E13</f>
        <v/>
      </c>
      <c r="F14" s="35">
        <f>F10+F12+F13</f>
        <v/>
      </c>
      <c r="G14" s="35">
        <f>SUM(B14:F14)</f>
        <v/>
      </c>
    </row>
    <row r="15">
      <c r="A15" s="4" t="inlineStr">
        <is>
          <t>EBITDA margin %</t>
        </is>
      </c>
      <c r="B15" s="37">
        <f>B14/MAX(B8,1)</f>
        <v/>
      </c>
      <c r="C15" s="37">
        <f>C14/MAX(C8,1)</f>
        <v/>
      </c>
      <c r="D15" s="37">
        <f>D14/MAX(D8,1)</f>
        <v/>
      </c>
      <c r="E15" s="37">
        <f>E14/MAX(E8,1)</f>
        <v/>
      </c>
      <c r="F15" s="37">
        <f>F14/MAX(F8,1)</f>
        <v/>
      </c>
    </row>
    <row r="16">
      <c r="A16" s="4" t="inlineStr">
        <is>
          <t>Cumulative EBITDA</t>
        </is>
      </c>
      <c r="B16" s="35">
        <f>B14</f>
        <v/>
      </c>
      <c r="C16" s="35">
        <f>B16+C14</f>
        <v/>
      </c>
      <c r="D16" s="35">
        <f>C16+D14</f>
        <v/>
      </c>
      <c r="E16" s="35">
        <f>D16+E14</f>
        <v/>
      </c>
      <c r="F16" s="35">
        <f>E16+F14</f>
        <v/>
      </c>
      <c r="G16">
        <f>F16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0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30" t="inlineStr">
        <is>
          <t>Cash flow — monthly Y1, quarterly Y2–Y5</t>
        </is>
      </c>
    </row>
    <row r="2">
      <c r="A2" s="8" t="inlineStr">
        <is>
          <t>Simple cash view — PayFast payout 3–5 business days assumed. No investment funding modelled.</t>
        </is>
      </c>
    </row>
    <row r="4">
      <c r="A4" s="31" t="inlineStr">
        <is>
          <t>Metric</t>
        </is>
      </c>
      <c r="B4" s="10" t="inlineStr">
        <is>
          <t>Y1 M1</t>
        </is>
      </c>
      <c r="C4" s="10" t="inlineStr">
        <is>
          <t>Y1 M2</t>
        </is>
      </c>
      <c r="D4" s="10" t="inlineStr">
        <is>
          <t>Y1 M3</t>
        </is>
      </c>
      <c r="E4" s="10" t="inlineStr">
        <is>
          <t>Y1 M4</t>
        </is>
      </c>
      <c r="F4" s="10" t="inlineStr">
        <is>
          <t>Y1 M5</t>
        </is>
      </c>
      <c r="G4" s="10" t="inlineStr">
        <is>
          <t>Y1 M6</t>
        </is>
      </c>
      <c r="H4" s="10" t="inlineStr">
        <is>
          <t>Y1 M7</t>
        </is>
      </c>
      <c r="I4" s="10" t="inlineStr">
        <is>
          <t>Y1 M8</t>
        </is>
      </c>
      <c r="J4" s="10" t="inlineStr">
        <is>
          <t>Y1 M9</t>
        </is>
      </c>
      <c r="K4" s="10" t="inlineStr">
        <is>
          <t>Y1 M10</t>
        </is>
      </c>
      <c r="L4" s="10" t="inlineStr">
        <is>
          <t>Y1 M11</t>
        </is>
      </c>
      <c r="M4" s="10" t="inlineStr">
        <is>
          <t>Y1 M12</t>
        </is>
      </c>
      <c r="N4" s="10" t="inlineStr">
        <is>
          <t>Y2 Q1</t>
        </is>
      </c>
      <c r="O4" s="10" t="inlineStr">
        <is>
          <t>Y2 Q2</t>
        </is>
      </c>
      <c r="P4" s="10" t="inlineStr">
        <is>
          <t>Y2 Q3</t>
        </is>
      </c>
      <c r="Q4" s="10" t="inlineStr">
        <is>
          <t>Y2 Q4</t>
        </is>
      </c>
      <c r="R4" s="10" t="inlineStr">
        <is>
          <t>Y3 Q1</t>
        </is>
      </c>
      <c r="S4" s="10" t="inlineStr">
        <is>
          <t>Y3 Q2</t>
        </is>
      </c>
      <c r="T4" s="10" t="inlineStr">
        <is>
          <t>Y3 Q3</t>
        </is>
      </c>
      <c r="U4" s="10" t="inlineStr">
        <is>
          <t>Y3 Q4</t>
        </is>
      </c>
      <c r="V4" s="10" t="inlineStr">
        <is>
          <t>Y4 Q1</t>
        </is>
      </c>
      <c r="W4" s="10" t="inlineStr">
        <is>
          <t>Y4 Q2</t>
        </is>
      </c>
      <c r="X4" s="10" t="inlineStr">
        <is>
          <t>Y4 Q3</t>
        </is>
      </c>
      <c r="Y4" s="10" t="inlineStr">
        <is>
          <t>Y4 Q4</t>
        </is>
      </c>
      <c r="Z4" s="10" t="inlineStr">
        <is>
          <t>Y5 Q1</t>
        </is>
      </c>
      <c r="AA4" s="10" t="inlineStr">
        <is>
          <t>Y5 Q2</t>
        </is>
      </c>
      <c r="AB4" s="10" t="inlineStr">
        <is>
          <t>Y5 Q3</t>
        </is>
      </c>
      <c r="AC4" s="10" t="inlineStr">
        <is>
          <t>Y5 Q4</t>
        </is>
      </c>
    </row>
    <row r="5">
      <c r="A5" s="4" t="inlineStr">
        <is>
          <t>Cash inflow (net after PayFast)</t>
        </is>
      </c>
      <c r="B5" s="35">
        <f>Revenue!B14</f>
        <v/>
      </c>
      <c r="C5" s="35">
        <f>Revenue!C14</f>
        <v/>
      </c>
      <c r="D5" s="35">
        <f>Revenue!D14</f>
        <v/>
      </c>
      <c r="E5" s="35">
        <f>Revenue!E14</f>
        <v/>
      </c>
      <c r="F5" s="35">
        <f>Revenue!F14</f>
        <v/>
      </c>
      <c r="G5" s="35">
        <f>Revenue!G14</f>
        <v/>
      </c>
      <c r="H5" s="35">
        <f>Revenue!H14</f>
        <v/>
      </c>
      <c r="I5" s="35">
        <f>Revenue!I14</f>
        <v/>
      </c>
      <c r="J5" s="35">
        <f>Revenue!J14</f>
        <v/>
      </c>
      <c r="K5" s="35">
        <f>Revenue!K14</f>
        <v/>
      </c>
      <c r="L5" s="35">
        <f>Revenue!L14</f>
        <v/>
      </c>
      <c r="M5" s="35">
        <f>Revenue!M14</f>
        <v/>
      </c>
      <c r="N5" s="35">
        <f>Revenue!N14</f>
        <v/>
      </c>
      <c r="O5" s="35">
        <f>Revenue!O14</f>
        <v/>
      </c>
      <c r="P5" s="35">
        <f>Revenue!P14</f>
        <v/>
      </c>
      <c r="Q5" s="35">
        <f>Revenue!Q14</f>
        <v/>
      </c>
      <c r="R5" s="35">
        <f>Revenue!R14</f>
        <v/>
      </c>
      <c r="S5" s="35">
        <f>Revenue!S14</f>
        <v/>
      </c>
      <c r="T5" s="35">
        <f>Revenue!T14</f>
        <v/>
      </c>
      <c r="U5" s="35">
        <f>Revenue!U14</f>
        <v/>
      </c>
      <c r="V5" s="35">
        <f>Revenue!V14</f>
        <v/>
      </c>
      <c r="W5" s="35">
        <f>Revenue!W14</f>
        <v/>
      </c>
      <c r="X5" s="35">
        <f>Revenue!X14</f>
        <v/>
      </c>
      <c r="Y5" s="35">
        <f>Revenue!Y14</f>
        <v/>
      </c>
      <c r="Z5" s="35">
        <f>Revenue!Z14</f>
        <v/>
      </c>
      <c r="AA5" s="35">
        <f>Revenue!AA14</f>
        <v/>
      </c>
      <c r="AB5" s="35">
        <f>Revenue!AB14</f>
        <v/>
      </c>
      <c r="AC5" s="35">
        <f>Revenue!AC14</f>
        <v/>
      </c>
    </row>
    <row r="6">
      <c r="A6" s="4" t="inlineStr">
        <is>
          <t>Cash outflow (infra + OpEx)</t>
        </is>
      </c>
      <c r="B6" s="35">
        <f>-Costs!B10-Costs!B16</f>
        <v/>
      </c>
      <c r="C6" s="35">
        <f>-Costs!C10-Costs!C16</f>
        <v/>
      </c>
      <c r="D6" s="35">
        <f>-Costs!D10-Costs!D16</f>
        <v/>
      </c>
      <c r="E6" s="35">
        <f>-Costs!E10-Costs!E16</f>
        <v/>
      </c>
      <c r="F6" s="35">
        <f>-Costs!F10-Costs!F16</f>
        <v/>
      </c>
      <c r="G6" s="35">
        <f>-Costs!G10-Costs!G16</f>
        <v/>
      </c>
      <c r="H6" s="35">
        <f>-Costs!H10-Costs!H16</f>
        <v/>
      </c>
      <c r="I6" s="35">
        <f>-Costs!I10-Costs!I16</f>
        <v/>
      </c>
      <c r="J6" s="35">
        <f>-Costs!J10-Costs!J16</f>
        <v/>
      </c>
      <c r="K6" s="35">
        <f>-Costs!K10-Costs!K16</f>
        <v/>
      </c>
      <c r="L6" s="35">
        <f>-Costs!L10-Costs!L16</f>
        <v/>
      </c>
      <c r="M6" s="35">
        <f>-Costs!M10-Costs!M16</f>
        <v/>
      </c>
      <c r="N6" s="35">
        <f>-Costs!N10-Costs!N16</f>
        <v/>
      </c>
      <c r="O6" s="35">
        <f>-Costs!O10-Costs!O16</f>
        <v/>
      </c>
      <c r="P6" s="35">
        <f>-Costs!P10-Costs!P16</f>
        <v/>
      </c>
      <c r="Q6" s="35">
        <f>-Costs!Q10-Costs!Q16</f>
        <v/>
      </c>
      <c r="R6" s="35">
        <f>-Costs!R10-Costs!R16</f>
        <v/>
      </c>
      <c r="S6" s="35">
        <f>-Costs!S10-Costs!S16</f>
        <v/>
      </c>
      <c r="T6" s="35">
        <f>-Costs!T10-Costs!T16</f>
        <v/>
      </c>
      <c r="U6" s="35">
        <f>-Costs!U10-Costs!U16</f>
        <v/>
      </c>
      <c r="V6" s="35">
        <f>-Costs!V10-Costs!V16</f>
        <v/>
      </c>
      <c r="W6" s="35">
        <f>-Costs!W10-Costs!W16</f>
        <v/>
      </c>
      <c r="X6" s="35">
        <f>-Costs!X10-Costs!X16</f>
        <v/>
      </c>
      <c r="Y6" s="35">
        <f>-Costs!Y10-Costs!Y16</f>
        <v/>
      </c>
      <c r="Z6" s="35">
        <f>-Costs!Z10-Costs!Z16</f>
        <v/>
      </c>
      <c r="AA6" s="35">
        <f>-Costs!AA10-Costs!AA16</f>
        <v/>
      </c>
      <c r="AB6" s="35">
        <f>-Costs!AB10-Costs!AB16</f>
        <v/>
      </c>
      <c r="AC6" s="35">
        <f>-Costs!AC10-Costs!AC16</f>
        <v/>
      </c>
    </row>
    <row r="7">
      <c r="A7" s="4" t="inlineStr">
        <is>
          <t>VAT remitted to SARS</t>
        </is>
      </c>
      <c r="B7" s="35">
        <f>-Revenue!B10</f>
        <v/>
      </c>
      <c r="C7" s="35">
        <f>-Revenue!C10</f>
        <v/>
      </c>
      <c r="D7" s="35">
        <f>-Revenue!D10</f>
        <v/>
      </c>
      <c r="E7" s="35">
        <f>-Revenue!E10</f>
        <v/>
      </c>
      <c r="F7" s="35">
        <f>-Revenue!F10</f>
        <v/>
      </c>
      <c r="G7" s="35">
        <f>-Revenue!G10</f>
        <v/>
      </c>
      <c r="H7" s="35">
        <f>-Revenue!H10</f>
        <v/>
      </c>
      <c r="I7" s="35">
        <f>-Revenue!I10</f>
        <v/>
      </c>
      <c r="J7" s="35">
        <f>-Revenue!J10</f>
        <v/>
      </c>
      <c r="K7" s="35">
        <f>-Revenue!K10</f>
        <v/>
      </c>
      <c r="L7" s="35">
        <f>-Revenue!L10</f>
        <v/>
      </c>
      <c r="M7" s="35">
        <f>-Revenue!M10</f>
        <v/>
      </c>
      <c r="N7" s="35">
        <f>-Revenue!N10</f>
        <v/>
      </c>
      <c r="O7" s="35">
        <f>-Revenue!O10</f>
        <v/>
      </c>
      <c r="P7" s="35">
        <f>-Revenue!P10</f>
        <v/>
      </c>
      <c r="Q7" s="35">
        <f>-Revenue!Q10</f>
        <v/>
      </c>
      <c r="R7" s="35">
        <f>-Revenue!R10</f>
        <v/>
      </c>
      <c r="S7" s="35">
        <f>-Revenue!S10</f>
        <v/>
      </c>
      <c r="T7" s="35">
        <f>-Revenue!T10</f>
        <v/>
      </c>
      <c r="U7" s="35">
        <f>-Revenue!U10</f>
        <v/>
      </c>
      <c r="V7" s="35">
        <f>-Revenue!V10</f>
        <v/>
      </c>
      <c r="W7" s="35">
        <f>-Revenue!W10</f>
        <v/>
      </c>
      <c r="X7" s="35">
        <f>-Revenue!X10</f>
        <v/>
      </c>
      <c r="Y7" s="35">
        <f>-Revenue!Y10</f>
        <v/>
      </c>
      <c r="Z7" s="35">
        <f>-Revenue!Z10</f>
        <v/>
      </c>
      <c r="AA7" s="35">
        <f>-Revenue!AA10</f>
        <v/>
      </c>
      <c r="AB7" s="35">
        <f>-Revenue!AB10</f>
        <v/>
      </c>
      <c r="AC7" s="35">
        <f>-Revenue!AC10</f>
        <v/>
      </c>
    </row>
    <row r="8">
      <c r="A8" s="4" t="inlineStr">
        <is>
          <t>Net cash flow (period)</t>
        </is>
      </c>
      <c r="B8" s="35">
        <f>B5+B6+B7</f>
        <v/>
      </c>
      <c r="C8" s="35">
        <f>C5+C6+C7</f>
        <v/>
      </c>
      <c r="D8" s="35">
        <f>D5+D6+D7</f>
        <v/>
      </c>
      <c r="E8" s="35">
        <f>E5+E6+E7</f>
        <v/>
      </c>
      <c r="F8" s="35">
        <f>F5+F6+F7</f>
        <v/>
      </c>
      <c r="G8" s="35">
        <f>G5+G6+G7</f>
        <v/>
      </c>
      <c r="H8" s="35">
        <f>H5+H6+H7</f>
        <v/>
      </c>
      <c r="I8" s="35">
        <f>I5+I6+I7</f>
        <v/>
      </c>
      <c r="J8" s="35">
        <f>J5+J6+J7</f>
        <v/>
      </c>
      <c r="K8" s="35">
        <f>K5+K6+K7</f>
        <v/>
      </c>
      <c r="L8" s="35">
        <f>L5+L6+L7</f>
        <v/>
      </c>
      <c r="M8" s="35">
        <f>M5+M6+M7</f>
        <v/>
      </c>
      <c r="N8" s="35">
        <f>N5+N6+N7</f>
        <v/>
      </c>
      <c r="O8" s="35">
        <f>O5+O6+O7</f>
        <v/>
      </c>
      <c r="P8" s="35">
        <f>P5+P6+P7</f>
        <v/>
      </c>
      <c r="Q8" s="35">
        <f>Q5+Q6+Q7</f>
        <v/>
      </c>
      <c r="R8" s="35">
        <f>R5+R6+R7</f>
        <v/>
      </c>
      <c r="S8" s="35">
        <f>S5+S6+S7</f>
        <v/>
      </c>
      <c r="T8" s="35">
        <f>T5+T6+T7</f>
        <v/>
      </c>
      <c r="U8" s="35">
        <f>U5+U6+U7</f>
        <v/>
      </c>
      <c r="V8" s="35">
        <f>V5+V6+V7</f>
        <v/>
      </c>
      <c r="W8" s="35">
        <f>W5+W6+W7</f>
        <v/>
      </c>
      <c r="X8" s="35">
        <f>X5+X6+X7</f>
        <v/>
      </c>
      <c r="Y8" s="35">
        <f>Y5+Y6+Y7</f>
        <v/>
      </c>
      <c r="Z8" s="35">
        <f>Z5+Z6+Z7</f>
        <v/>
      </c>
      <c r="AA8" s="35">
        <f>AA5+AA6+AA7</f>
        <v/>
      </c>
      <c r="AB8" s="35">
        <f>AB5+AB6+AB7</f>
        <v/>
      </c>
      <c r="AC8" s="35">
        <f>AC5+AC6+AC7</f>
        <v/>
      </c>
    </row>
    <row r="9">
      <c r="A9" s="4" t="inlineStr">
        <is>
          <t>Opening cash</t>
        </is>
      </c>
      <c r="B9" s="35" t="n">
        <v>0</v>
      </c>
      <c r="C9" s="35">
        <f>B10</f>
        <v/>
      </c>
      <c r="D9" s="35">
        <f>C10</f>
        <v/>
      </c>
      <c r="E9" s="35">
        <f>D10</f>
        <v/>
      </c>
      <c r="F9" s="35">
        <f>E10</f>
        <v/>
      </c>
      <c r="G9" s="35">
        <f>F10</f>
        <v/>
      </c>
      <c r="H9" s="35">
        <f>G10</f>
        <v/>
      </c>
      <c r="I9" s="35">
        <f>H10</f>
        <v/>
      </c>
      <c r="J9" s="35">
        <f>I10</f>
        <v/>
      </c>
      <c r="K9" s="35">
        <f>J10</f>
        <v/>
      </c>
      <c r="L9" s="35">
        <f>K10</f>
        <v/>
      </c>
      <c r="M9" s="35">
        <f>L10</f>
        <v/>
      </c>
      <c r="N9" s="35">
        <f>M10</f>
        <v/>
      </c>
      <c r="O9" s="35">
        <f>N10</f>
        <v/>
      </c>
      <c r="P9" s="35">
        <f>O10</f>
        <v/>
      </c>
      <c r="Q9" s="35">
        <f>P10</f>
        <v/>
      </c>
      <c r="R9" s="35">
        <f>Q10</f>
        <v/>
      </c>
      <c r="S9" s="35">
        <f>R10</f>
        <v/>
      </c>
      <c r="T9" s="35">
        <f>S10</f>
        <v/>
      </c>
      <c r="U9" s="35">
        <f>T10</f>
        <v/>
      </c>
      <c r="V9" s="35">
        <f>U10</f>
        <v/>
      </c>
      <c r="W9" s="35">
        <f>V10</f>
        <v/>
      </c>
      <c r="X9" s="35">
        <f>W10</f>
        <v/>
      </c>
      <c r="Y9" s="35">
        <f>X10</f>
        <v/>
      </c>
      <c r="Z9" s="35">
        <f>Y10</f>
        <v/>
      </c>
      <c r="AA9" s="35">
        <f>Z10</f>
        <v/>
      </c>
      <c r="AB9" s="35">
        <f>AA10</f>
        <v/>
      </c>
      <c r="AC9" s="35">
        <f>AB10</f>
        <v/>
      </c>
    </row>
    <row r="10">
      <c r="A10" s="4" t="inlineStr">
        <is>
          <t>Closing cash</t>
        </is>
      </c>
      <c r="B10" s="35">
        <f>B9+B8</f>
        <v/>
      </c>
      <c r="C10" s="35">
        <f>C9+C8</f>
        <v/>
      </c>
      <c r="D10" s="35">
        <f>D9+D8</f>
        <v/>
      </c>
      <c r="E10" s="35">
        <f>E9+E8</f>
        <v/>
      </c>
      <c r="F10" s="35">
        <f>F9+F8</f>
        <v/>
      </c>
      <c r="G10" s="35">
        <f>G9+G8</f>
        <v/>
      </c>
      <c r="H10" s="35">
        <f>H9+H8</f>
        <v/>
      </c>
      <c r="I10" s="35">
        <f>I9+I8</f>
        <v/>
      </c>
      <c r="J10" s="35">
        <f>J9+J8</f>
        <v/>
      </c>
      <c r="K10" s="35">
        <f>K9+K8</f>
        <v/>
      </c>
      <c r="L10" s="35">
        <f>L9+L8</f>
        <v/>
      </c>
      <c r="M10" s="35">
        <f>M9+M8</f>
        <v/>
      </c>
      <c r="N10" s="35">
        <f>N9+N8</f>
        <v/>
      </c>
      <c r="O10" s="35">
        <f>O9+O8</f>
        <v/>
      </c>
      <c r="P10" s="35">
        <f>P9+P8</f>
        <v/>
      </c>
      <c r="Q10" s="35">
        <f>Q9+Q8</f>
        <v/>
      </c>
      <c r="R10" s="35">
        <f>R9+R8</f>
        <v/>
      </c>
      <c r="S10" s="35">
        <f>S9+S8</f>
        <v/>
      </c>
      <c r="T10" s="35">
        <f>T9+T8</f>
        <v/>
      </c>
      <c r="U10" s="35">
        <f>U9+U8</f>
        <v/>
      </c>
      <c r="V10" s="35">
        <f>V9+V8</f>
        <v/>
      </c>
      <c r="W10" s="35">
        <f>W9+W8</f>
        <v/>
      </c>
      <c r="X10" s="35">
        <f>X9+X8</f>
        <v/>
      </c>
      <c r="Y10" s="35">
        <f>Y9+Y8</f>
        <v/>
      </c>
      <c r="Z10" s="35">
        <f>Z9+Z8</f>
        <v/>
      </c>
      <c r="AA10" s="35">
        <f>AA9+AA8</f>
        <v/>
      </c>
      <c r="AB10" s="35">
        <f>AB9+AB8</f>
        <v/>
      </c>
      <c r="AC10" s="35">
        <f>AC9+AC8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0" t="inlineStr">
        <is>
          <t>Unit economics &amp; scenario comparison</t>
        </is>
      </c>
    </row>
    <row r="3">
      <c r="A3" s="38" t="inlineStr">
        <is>
          <t>Unit economics (active scenario)</t>
        </is>
      </c>
    </row>
    <row r="4">
      <c r="A4" s="39" t="inlineStr">
        <is>
          <t>ARPU (monthly, active prac, ZAR ex-VAT)</t>
        </is>
      </c>
      <c r="B4" s="40">
        <f>plans_per_prac*credits_per_plan*rev_per_credit/credit_consume/(1+vat)</f>
        <v/>
      </c>
    </row>
    <row r="5">
      <c r="A5" s="39" t="inlineStr">
        <is>
          <t>Gross margin %</t>
        </is>
      </c>
      <c r="B5" s="41">
        <f>1-pf_pct_early</f>
        <v/>
      </c>
    </row>
    <row r="6">
      <c r="A6" s="39" t="inlineStr">
        <is>
          <t>Monthly gross profit / active prac (ZAR)</t>
        </is>
      </c>
      <c r="B6" s="40">
        <f>B4*B5</f>
        <v/>
      </c>
    </row>
    <row r="7">
      <c r="A7" s="39" t="inlineStr">
        <is>
          <t>Avg lifetime months (1/churn)</t>
        </is>
      </c>
      <c r="B7" s="42">
        <f>1/churn</f>
        <v/>
      </c>
    </row>
    <row r="8">
      <c r="A8" s="39" t="inlineStr">
        <is>
          <t>LTV (ZAR)</t>
        </is>
      </c>
      <c r="B8" s="40">
        <f>B6*B7</f>
        <v/>
      </c>
    </row>
    <row r="9">
      <c r="A9" s="39" t="inlineStr">
        <is>
          <t>Blended CAC (ZAR)</t>
        </is>
      </c>
      <c r="B9" s="40">
        <f>mix_warm*0+mix_paid*paid_cac_sa+mix_ref*ref_cost</f>
        <v/>
      </c>
    </row>
    <row r="10">
      <c r="A10" s="39" t="inlineStr">
        <is>
          <t>LTV / CAC</t>
        </is>
      </c>
      <c r="B10" s="42">
        <f>B8/MAX(B9,1)</f>
        <v/>
      </c>
    </row>
    <row r="11">
      <c r="A11" s="39" t="inlineStr">
        <is>
          <t>CAC payback (months)</t>
        </is>
      </c>
      <c r="B11" s="42">
        <f>B9/MAX(B6,1)</f>
        <v/>
      </c>
    </row>
    <row r="12">
      <c r="A12" s="39" t="inlineStr">
        <is>
          <t>Pricing ROI for practitioner (session-value)</t>
        </is>
      </c>
      <c r="B12" s="42">
        <f>650*5*0.05*52/12/B4</f>
        <v/>
      </c>
    </row>
    <row r="14">
      <c r="A14" s="38" t="inlineStr">
        <is>
          <t>Scenario snapshot (Y5 rollup)</t>
        </is>
      </c>
    </row>
    <row r="15">
      <c r="A15" s="31" t="inlineStr">
        <is>
          <t>Metric</t>
        </is>
      </c>
      <c r="B15" s="31" t="inlineStr">
        <is>
          <t>Conservative (scn=1)</t>
        </is>
      </c>
      <c r="C15" s="31" t="inlineStr">
        <is>
          <t>Base (scn=2)</t>
        </is>
      </c>
      <c r="D15" s="31" t="inlineStr">
        <is>
          <t>Optimistic (scn=3)</t>
        </is>
      </c>
    </row>
    <row r="16">
      <c r="A16" t="inlineStr">
        <is>
          <t>Y5 end paying practitioners</t>
        </is>
      </c>
      <c r="C16" s="32">
        <f>Growth!AC16</f>
        <v/>
      </c>
    </row>
    <row r="17">
      <c r="A17" t="inlineStr">
        <is>
          <t>Y5 gross revenue (ZAR)</t>
        </is>
      </c>
      <c r="C17" s="35">
        <f>SUM(Revenue!Z9:AC9)</f>
        <v/>
      </c>
    </row>
    <row r="18">
      <c r="A18" t="inlineStr">
        <is>
          <t>Y5 EBITDA (ZAR)</t>
        </is>
      </c>
      <c r="C18" s="35">
        <f>'P&amp;L'!F14</f>
        <v/>
      </c>
    </row>
    <row r="19">
      <c r="A19" t="inlineStr">
        <is>
          <t>Y5 EBITDA margin</t>
        </is>
      </c>
      <c r="C19" s="37">
        <f>'P&amp;L'!F15</f>
        <v/>
      </c>
    </row>
    <row r="20">
      <c r="A20" t="inlineStr">
        <is>
          <t>Cumulative 5-yr EBITDA (ZAR)</t>
        </is>
      </c>
      <c r="C20" s="35">
        <f>'P&amp;L'!F16</f>
        <v/>
      </c>
    </row>
    <row r="22">
      <c r="A22" s="5" t="inlineStr">
        <is>
          <t>To compare scenarios: toggle Assumptions!C5 (Active scenario) to 1, 2, or 3.</t>
        </is>
      </c>
    </row>
    <row r="23">
      <c r="A23" s="5" t="inlineStr">
        <is>
          <t>Then snapshot Y5 numbers manually into column B or D.</t>
        </is>
      </c>
    </row>
    <row r="25">
      <c r="A25" s="43" t="inlineStr">
        <is>
          <t>Precomputed snapshots (from build — tweak inputs then resnap)</t>
        </is>
      </c>
    </row>
    <row r="26">
      <c r="A26" s="43" t="inlineStr">
        <is>
          <t>Note: Values in cols B/D are TEXT placeholders; they don't auto-update. Use col C (live).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="11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0" t="inlineStr">
        <is>
          <t>Sensitivity — which assumptions move Y5 EBITDA most</t>
        </is>
      </c>
    </row>
    <row r="3">
      <c r="A3" s="44" t="inlineStr">
        <is>
          <t>Tornado-style table. Each row measures Y5 EBITDA (Base) when a single input is flexed to Conservative (-) or Optimistic (+). See README for interpretation. Values pull live from the model as you toggle Assumptions!C5.</t>
        </is>
      </c>
    </row>
    <row r="5">
      <c r="A5" s="10" t="inlineStr">
        <is>
          <t>Driver</t>
        </is>
      </c>
      <c r="B5" s="10" t="inlineStr">
        <is>
          <t>Base Y5 EBITDA</t>
        </is>
      </c>
      <c r="C5" s="10" t="inlineStr">
        <is>
          <t>Conservative Y5 EBITDA</t>
        </is>
      </c>
      <c r="D5" s="10" t="inlineStr">
        <is>
          <t>Optimistic Y5 EBITDA</t>
        </is>
      </c>
      <c r="E5" s="10" t="inlineStr">
        <is>
          <t>Swing (cons → opt)</t>
        </is>
      </c>
    </row>
    <row r="6">
      <c r="A6" s="39" t="inlineStr">
        <is>
          <t>Plans per practitioner per month</t>
        </is>
      </c>
      <c r="B6" s="45" t="inlineStr">
        <is>
          <t>(live — toggle scn=2)</t>
        </is>
      </c>
      <c r="C6" s="45" t="inlineStr">
        <is>
          <t>(swap cons input only, re-snap)</t>
        </is>
      </c>
      <c r="D6" s="45" t="inlineStr">
        <is>
          <t>(swap opt input only, re-snap)</t>
        </is>
      </c>
      <c r="E6" s="45">
        <f> D - C when filled</f>
        <v/>
      </c>
    </row>
    <row r="7">
      <c r="A7" s="39" t="inlineStr">
        <is>
          <t>Monthly churn</t>
        </is>
      </c>
      <c r="B7" s="45" t="inlineStr">
        <is>
          <t>(live — toggle scn=2)</t>
        </is>
      </c>
      <c r="C7" s="45" t="inlineStr">
        <is>
          <t>(swap cons input only, re-snap)</t>
        </is>
      </c>
      <c r="D7" s="45" t="inlineStr">
        <is>
          <t>(swap opt input only, re-snap)</t>
        </is>
      </c>
      <c r="E7" s="45">
        <f> D - C when filled</f>
        <v/>
      </c>
    </row>
    <row r="8">
      <c r="A8" s="39" t="inlineStr">
        <is>
          <t>Paid CAC (SA)</t>
        </is>
      </c>
      <c r="B8" s="45" t="inlineStr">
        <is>
          <t>(live — toggle scn=2)</t>
        </is>
      </c>
      <c r="C8" s="45" t="inlineStr">
        <is>
          <t>(swap cons input only, re-snap)</t>
        </is>
      </c>
      <c r="D8" s="45" t="inlineStr">
        <is>
          <t>(swap opt input only, re-snap)</t>
        </is>
      </c>
      <c r="E8" s="45">
        <f> D - C when filled</f>
        <v/>
      </c>
    </row>
    <row r="9">
      <c r="A9" s="39" t="inlineStr">
        <is>
          <t>Signup rate (reachable → signup)</t>
        </is>
      </c>
      <c r="B9" s="45" t="inlineStr">
        <is>
          <t>(live — toggle scn=2)</t>
        </is>
      </c>
      <c r="C9" s="45" t="inlineStr">
        <is>
          <t>(swap cons input only, re-snap)</t>
        </is>
      </c>
      <c r="D9" s="45" t="inlineStr">
        <is>
          <t>(swap opt input only, re-snap)</t>
        </is>
      </c>
      <c r="E9" s="45">
        <f> D - C when filled</f>
        <v/>
      </c>
    </row>
    <row r="10">
      <c r="A10" s="39" t="inlineStr">
        <is>
          <t>Revenue per credit</t>
        </is>
      </c>
      <c r="B10" s="45" t="inlineStr">
        <is>
          <t>(live — toggle scn=2)</t>
        </is>
      </c>
      <c r="C10" s="45" t="inlineStr">
        <is>
          <t>(swap cons input only, re-snap)</t>
        </is>
      </c>
      <c r="D10" s="45" t="inlineStr">
        <is>
          <t>(swap opt input only, re-snap)</t>
        </is>
      </c>
      <c r="E10" s="45">
        <f> D - C when filled</f>
        <v/>
      </c>
    </row>
    <row r="11">
      <c r="A11" s="39" t="inlineStr">
        <is>
          <t>International expansion start year</t>
        </is>
      </c>
      <c r="B11" s="45" t="inlineStr">
        <is>
          <t>(live — toggle scn=2)</t>
        </is>
      </c>
      <c r="C11" s="45" t="inlineStr">
        <is>
          <t>(swap cons input only, re-snap)</t>
        </is>
      </c>
      <c r="D11" s="45" t="inlineStr">
        <is>
          <t>(swap opt input only, re-snap)</t>
        </is>
      </c>
      <c r="E11" s="45">
        <f> D - C when filled</f>
        <v/>
      </c>
    </row>
    <row r="12">
      <c r="A12" s="39" t="inlineStr">
        <is>
          <t>Founder salary</t>
        </is>
      </c>
      <c r="B12" s="45" t="inlineStr">
        <is>
          <t>(live — toggle scn=2)</t>
        </is>
      </c>
      <c r="C12" s="45" t="inlineStr">
        <is>
          <t>(swap cons input only, re-snap)</t>
        </is>
      </c>
      <c r="D12" s="45" t="inlineStr">
        <is>
          <t>(swap opt input only, re-snap)</t>
        </is>
      </c>
      <c r="E12" s="45">
        <f> D - C when filled</f>
        <v/>
      </c>
    </row>
    <row r="13">
      <c r="A13" s="39" t="inlineStr">
        <is>
          <t>Marketing spend floor</t>
        </is>
      </c>
      <c r="B13" s="45" t="inlineStr">
        <is>
          <t>(live — toggle scn=2)</t>
        </is>
      </c>
      <c r="C13" s="45" t="inlineStr">
        <is>
          <t>(swap cons input only, re-snap)</t>
        </is>
      </c>
      <c r="D13" s="45" t="inlineStr">
        <is>
          <t>(swap opt input only, re-snap)</t>
        </is>
      </c>
      <c r="E13" s="45">
        <f> D - C when filled</f>
        <v/>
      </c>
    </row>
    <row r="16">
      <c r="A16" s="46" t="inlineStr">
        <is>
          <t>Live Y5 EBITDA (active scenario)</t>
        </is>
      </c>
      <c r="B16" s="47">
        <f>'P&amp;L'!F14</f>
        <v/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2026-04-20T11:00:51Z</dcterms:created>
  <dcterms:modified xmlns:dcterms="http://purl.org/dc/terms/" xmlns:xsi="http://www.w3.org/2001/XMLSchema-instance" xsi:type="dcterms:W3CDTF">2026-04-20T11:00:51Z</dcterms:modified>
</cp:coreProperties>
</file>